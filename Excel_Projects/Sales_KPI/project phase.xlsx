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f857fedb3d2d5e4f/"/>
    </mc:Choice>
  </mc:AlternateContent>
  <xr:revisionPtr revIDLastSave="0" documentId="8_{BCA5B7D1-6F44-442F-B957-53D48EBA9D0C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Pivot Table" sheetId="3" r:id="rId1"/>
    <sheet name="Sales_Data" sheetId="1" r:id="rId2"/>
    <sheet name="Dashboard" sheetId="4" r:id="rId3"/>
  </sheets>
  <definedNames>
    <definedName name="_xlnm._FilterDatabase" localSheetId="1" hidden="1">Sales_Data!$A$1:$L$101</definedName>
  </definedNames>
  <calcPr calcId="191028"/>
  <pivotCaches>
    <pivotCache cacheId="160" r:id="rId4"/>
    <pivotCache cacheId="16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B4" i="4"/>
  <c r="O4" i="4"/>
  <c r="J4" i="4"/>
  <c r="G4" i="4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D28" i="4"/>
</calcChain>
</file>

<file path=xl/sharedStrings.xml><?xml version="1.0" encoding="utf-8"?>
<sst xmlns="http://schemas.openxmlformats.org/spreadsheetml/2006/main" count="558" uniqueCount="89">
  <si>
    <t>Product</t>
  </si>
  <si>
    <t>Sum of Units Sold</t>
  </si>
  <si>
    <t>Gaming Mouse</t>
  </si>
  <si>
    <t>Category</t>
  </si>
  <si>
    <t>Sum of Total Sales</t>
  </si>
  <si>
    <t>Bluetooth Speaker</t>
  </si>
  <si>
    <t>Accessories</t>
  </si>
  <si>
    <t>LED Monitor</t>
  </si>
  <si>
    <t>Computers</t>
  </si>
  <si>
    <t>Backpack</t>
  </si>
  <si>
    <t>Electronics</t>
  </si>
  <si>
    <t>Phone Case</t>
  </si>
  <si>
    <t>Grand Total</t>
  </si>
  <si>
    <t>Customer Name2</t>
  </si>
  <si>
    <t>Sum of Profit</t>
  </si>
  <si>
    <t>East</t>
  </si>
  <si>
    <t>North</t>
  </si>
  <si>
    <t>South</t>
  </si>
  <si>
    <t>Sales Channel</t>
  </si>
  <si>
    <t>Count of Order ID</t>
  </si>
  <si>
    <t>West</t>
  </si>
  <si>
    <t>Online</t>
  </si>
  <si>
    <t>Retail Store</t>
  </si>
  <si>
    <t>Order  Months</t>
  </si>
  <si>
    <t>January</t>
  </si>
  <si>
    <t>February</t>
  </si>
  <si>
    <t>March</t>
  </si>
  <si>
    <t>April</t>
  </si>
  <si>
    <t>May</t>
  </si>
  <si>
    <t>June</t>
  </si>
  <si>
    <t>Order ID</t>
  </si>
  <si>
    <t xml:space="preserve"> Date</t>
  </si>
  <si>
    <t>Customer Name</t>
  </si>
  <si>
    <t>Customer Region</t>
  </si>
  <si>
    <t>Units Sold</t>
  </si>
  <si>
    <t>Unit Price</t>
  </si>
  <si>
    <t>Total Sales</t>
  </si>
  <si>
    <t>Cost Price</t>
  </si>
  <si>
    <t>Profit</t>
  </si>
  <si>
    <t>Customer 2</t>
  </si>
  <si>
    <t>Customer 12</t>
  </si>
  <si>
    <t>Customer 1</t>
  </si>
  <si>
    <t>Smartwatch</t>
  </si>
  <si>
    <t>Customer 34</t>
  </si>
  <si>
    <t>Customer 3</t>
  </si>
  <si>
    <t>Customer 22</t>
  </si>
  <si>
    <t>Customer 13</t>
  </si>
  <si>
    <t>Wireless Earbuds</t>
  </si>
  <si>
    <t>Customer 29</t>
  </si>
  <si>
    <t>Customer 17</t>
  </si>
  <si>
    <t>Laptop</t>
  </si>
  <si>
    <t>Customer 5</t>
  </si>
  <si>
    <t>Customer 6</t>
  </si>
  <si>
    <t>Customer 11</t>
  </si>
  <si>
    <t>Customer 28</t>
  </si>
  <si>
    <t>Customer 44</t>
  </si>
  <si>
    <t>Customer 25</t>
  </si>
  <si>
    <t>Customer 7</t>
  </si>
  <si>
    <t>Customer 9</t>
  </si>
  <si>
    <t>Customer 43</t>
  </si>
  <si>
    <t>Customer 40</t>
  </si>
  <si>
    <t>Customer 32</t>
  </si>
  <si>
    <t>Customer 24</t>
  </si>
  <si>
    <t>Customer 36</t>
  </si>
  <si>
    <t>Customer 47</t>
  </si>
  <si>
    <t>Customer 14</t>
  </si>
  <si>
    <t>Customer 37</t>
  </si>
  <si>
    <t>Customer 50</t>
  </si>
  <si>
    <t>Customer 33</t>
  </si>
  <si>
    <t>Customer 4</t>
  </si>
  <si>
    <t>Customer 39</t>
  </si>
  <si>
    <t>Customer 45</t>
  </si>
  <si>
    <t>Customer 19</t>
  </si>
  <si>
    <t>Customer 31</t>
  </si>
  <si>
    <t>Customer 27</t>
  </si>
  <si>
    <t>Customer 20</t>
  </si>
  <si>
    <t>Customer 49</t>
  </si>
  <si>
    <t>Customer 38</t>
  </si>
  <si>
    <t>Customer 15</t>
  </si>
  <si>
    <t>Customer 16</t>
  </si>
  <si>
    <t>Customer 18</t>
  </si>
  <si>
    <t>Customer 41</t>
  </si>
  <si>
    <t>Customer 30</t>
  </si>
  <si>
    <t>Customer 23</t>
  </si>
  <si>
    <t>Customer 10</t>
  </si>
  <si>
    <t>Customer 21</t>
  </si>
  <si>
    <t>Customer 35</t>
  </si>
  <si>
    <t>📊Sales Performance Dashboard (Jan - Jun 2025)</t>
  </si>
  <si>
    <t>Top 5 Best-Selling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</si>
</sst>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5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8"/>
      <color theme="3"/>
      <name val="Aptos Display"/>
      <scheme val="major"/>
    </font>
    <font>
      <b/>
      <sz val="12"/>
      <color theme="1"/>
      <name val="Calibri"/>
      <family val="2"/>
    </font>
    <font>
      <b/>
      <sz val="11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3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20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7" fillId="2" borderId="0" applyNumberFormat="0" applyBorder="0" applyAlignment="0" applyProtection="0"/>
  </cellStyleXfs>
  <cellXfs count="3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14" fontId="0" fillId="0" borderId="0" xfId="0" applyNumberFormat="1"/>
    <xf numFmtId="164" fontId="1" fillId="0" borderId="2" xfId="0" applyNumberFormat="1" applyFont="1" applyBorder="1"/>
    <xf numFmtId="164" fontId="2" fillId="0" borderId="0" xfId="0" applyNumberFormat="1" applyFont="1"/>
    <xf numFmtId="49" fontId="1" fillId="0" borderId="2" xfId="0" applyNumberFormat="1" applyFont="1" applyBorder="1"/>
    <xf numFmtId="49" fontId="2" fillId="0" borderId="0" xfId="0" applyNumberFormat="1" applyFont="1"/>
    <xf numFmtId="164" fontId="0" fillId="0" borderId="0" xfId="0" applyNumberFormat="1"/>
    <xf numFmtId="0" fontId="3" fillId="0" borderId="0" xfId="0" applyFont="1"/>
    <xf numFmtId="0" fontId="0" fillId="0" borderId="0" xfId="0" pivotButton="1"/>
    <xf numFmtId="0" fontId="4" fillId="0" borderId="0" xfId="1" applyAlignment="1">
      <alignment horizontal="center" vertical="center"/>
    </xf>
    <xf numFmtId="0" fontId="8" fillId="0" borderId="0" xfId="2" applyFont="1"/>
    <xf numFmtId="0" fontId="9" fillId="0" borderId="0" xfId="0" applyFont="1"/>
    <xf numFmtId="0" fontId="12" fillId="0" borderId="0" xfId="0" applyFont="1" applyAlignment="1">
      <alignment horizontal="center" vertical="center"/>
    </xf>
    <xf numFmtId="0" fontId="0" fillId="0" borderId="0" xfId="0" applyNumberFormat="1"/>
    <xf numFmtId="0" fontId="0" fillId="0" borderId="0" xfId="0" applyAlignment="1"/>
    <xf numFmtId="0" fontId="10" fillId="0" borderId="0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1" fillId="0" borderId="10" xfId="3" applyFont="1" applyBorder="1" applyAlignment="1">
      <alignment horizontal="center" vertical="top"/>
    </xf>
    <xf numFmtId="0" fontId="11" fillId="0" borderId="11" xfId="3" applyFont="1" applyBorder="1" applyAlignment="1">
      <alignment horizontal="center" vertical="top"/>
    </xf>
    <xf numFmtId="0" fontId="11" fillId="0" borderId="9" xfId="3" applyFont="1" applyBorder="1" applyAlignment="1">
      <alignment horizontal="center"/>
    </xf>
    <xf numFmtId="0" fontId="11" fillId="0" borderId="10" xfId="3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0" xfId="1" applyFont="1" applyAlignment="1">
      <alignment horizontal="center"/>
    </xf>
    <xf numFmtId="0" fontId="14" fillId="2" borderId="7" xfId="4" applyFont="1" applyBorder="1" applyAlignment="1">
      <alignment horizontal="center" vertical="center"/>
    </xf>
    <xf numFmtId="0" fontId="14" fillId="2" borderId="0" xfId="4" applyFont="1" applyBorder="1" applyAlignment="1">
      <alignment horizontal="center" vertical="center"/>
    </xf>
    <xf numFmtId="0" fontId="14" fillId="2" borderId="8" xfId="4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5">
    <cellStyle name="Accent1" xfId="4" builtinId="29"/>
    <cellStyle name="Heading 4" xfId="2" builtinId="19"/>
    <cellStyle name="Normal" xfId="0" builtinId="0"/>
    <cellStyle name="Title" xfId="1" builtinId="15"/>
    <cellStyle name="Total" xfId="3" builtinId="2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0000"/>
      <color rgb="FF163E64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phase.xlsx]Pivot Table!PivotTable1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2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Sales</a:t>
            </a:r>
            <a:r>
              <a:rPr lang="en-US" sz="1200" b="1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258975089357194"/>
          <c:y val="0.24648044692737434"/>
          <c:w val="0.6478497684690856"/>
          <c:h val="0.53711989911875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Accessories</c:v>
                </c:pt>
                <c:pt idx="1">
                  <c:v>Computers</c:v>
                </c:pt>
                <c:pt idx="2">
                  <c:v>Electronics</c:v>
                </c:pt>
              </c:strCache>
            </c:strRef>
          </c:cat>
          <c:val>
            <c:numRef>
              <c:f>'Pivot Table'!$B$4:$B$7</c:f>
              <c:numCache>
                <c:formatCode>[$₹-4009]\ #,##0.00</c:formatCode>
                <c:ptCount val="3"/>
                <c:pt idx="0">
                  <c:v>613132</c:v>
                </c:pt>
                <c:pt idx="1">
                  <c:v>1264843</c:v>
                </c:pt>
                <c:pt idx="2">
                  <c:v>844189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B-43E8-A883-BD4782308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771335"/>
        <c:axId val="2004773383"/>
      </c:barChart>
      <c:catAx>
        <c:axId val="2004771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004773383"/>
        <c:crosses val="autoZero"/>
        <c:auto val="1"/>
        <c:lblAlgn val="ctr"/>
        <c:lblOffset val="100"/>
        <c:noMultiLvlLbl val="0"/>
      </c:catAx>
      <c:valAx>
        <c:axId val="2004773383"/>
        <c:scaling>
          <c:orientation val="minMax"/>
        </c:scaling>
        <c:delete val="0"/>
        <c:axPos val="l"/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004771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163E6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phase.xlsx]Pivot Table!PivotTable2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2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Table'!$A$13:$A$17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Table'!$B$13:$B$17</c:f>
              <c:numCache>
                <c:formatCode>[$₹-4009]\ #,##0.00</c:formatCode>
                <c:ptCount val="4"/>
                <c:pt idx="0">
                  <c:v>132245</c:v>
                </c:pt>
                <c:pt idx="1">
                  <c:v>201273</c:v>
                </c:pt>
                <c:pt idx="2">
                  <c:v>136912</c:v>
                </c:pt>
                <c:pt idx="3">
                  <c:v>217839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4-42EC-8DCA-5AF012AB4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993416"/>
        <c:axId val="313443336"/>
      </c:barChart>
      <c:catAx>
        <c:axId val="22299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313443336"/>
        <c:crosses val="autoZero"/>
        <c:auto val="1"/>
        <c:lblAlgn val="ctr"/>
        <c:lblOffset val="100"/>
        <c:noMultiLvlLbl val="0"/>
      </c:catAx>
      <c:valAx>
        <c:axId val="31344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22993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163E6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phase.xlsx]Pivot Table!PivotTable5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IN" sz="12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7800-4FA5-81F7-8626CD84485E}"/>
              </c:ext>
            </c:extLst>
          </c:dPt>
          <c:cat>
            <c:strRef>
              <c:f>'Pivot Table'!$A$31:$A$37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Table'!$B$31:$B$37</c:f>
              <c:numCache>
                <c:formatCode>[$₹-4009]\ #,##0.00</c:formatCode>
                <c:ptCount val="6"/>
                <c:pt idx="0">
                  <c:v>226999</c:v>
                </c:pt>
                <c:pt idx="1">
                  <c:v>288751</c:v>
                </c:pt>
                <c:pt idx="2">
                  <c:v>610240</c:v>
                </c:pt>
                <c:pt idx="3">
                  <c:v>736630</c:v>
                </c:pt>
                <c:pt idx="4">
                  <c:v>336789</c:v>
                </c:pt>
                <c:pt idx="5">
                  <c:v>522755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7D-4124-8A6E-1F5A912AD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355975"/>
        <c:axId val="1054358535"/>
      </c:lineChart>
      <c:catAx>
        <c:axId val="1054355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54358535"/>
        <c:crosses val="autoZero"/>
        <c:auto val="1"/>
        <c:lblAlgn val="ctr"/>
        <c:lblOffset val="100"/>
        <c:noMultiLvlLbl val="0"/>
      </c:catAx>
      <c:valAx>
        <c:axId val="1054358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54355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163E6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phase.xlsx]Pivot Table!PivotTable7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Order Distribution by Sales Channel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D0D0D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80808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0D0D0D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808080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D0D0D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808080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0D0D0D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808080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5"/>
        <c:spPr>
          <a:solidFill>
            <a:schemeClr val="tx2">
              <a:lumMod val="25000"/>
              <a:lumOff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tx2">
              <a:lumMod val="25000"/>
              <a:lumOff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bg1">
              <a:lumMod val="50000"/>
            </a:schemeClr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Table'!$G$15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91-43B0-9FB4-AF847C59988E}"/>
              </c:ext>
            </c:extLst>
          </c:dPt>
          <c:dPt>
            <c:idx val="1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91-43B0-9FB4-AF847C59988E}"/>
              </c:ext>
            </c:extLst>
          </c:dPt>
          <c:cat>
            <c:strRef>
              <c:f>'Pivot Table'!$F$16:$F$18</c:f>
              <c:strCache>
                <c:ptCount val="2"/>
                <c:pt idx="0">
                  <c:v>Online</c:v>
                </c:pt>
                <c:pt idx="1">
                  <c:v>Retail Store</c:v>
                </c:pt>
              </c:strCache>
            </c:strRef>
          </c:cat>
          <c:val>
            <c:numRef>
              <c:f>'Pivot Table'!$G$16:$G$18</c:f>
              <c:numCache>
                <c:formatCode>General</c:formatCode>
                <c:ptCount val="2"/>
                <c:pt idx="0">
                  <c:v>46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91-43B0-9FB4-AF847C599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47219</xdr:colOff>
      <xdr:row>2</xdr:row>
      <xdr:rowOff>3478</xdr:rowOff>
    </xdr:from>
    <xdr:to>
      <xdr:col>7</xdr:col>
      <xdr:colOff>312261</xdr:colOff>
      <xdr:row>6</xdr:row>
      <xdr:rowOff>187413</xdr:rowOff>
    </xdr:to>
    <xdr:sp macro="" textlink="$G$6">
      <xdr:nvSpPr>
        <xdr:cNvPr id="4" name="Rectangle: Rounded Corners 3">
          <a:extLst>
            <a:ext uri="{FF2B5EF4-FFF2-40B4-BE49-F238E27FC236}">
              <a16:creationId xmlns:a16="http://schemas.microsoft.com/office/drawing/2014/main" id="{239C4D8B-B8A4-B290-2648-A769599E638C}"/>
            </a:ext>
          </a:extLst>
        </xdr:cNvPr>
        <xdr:cNvSpPr/>
      </xdr:nvSpPr>
      <xdr:spPr>
        <a:xfrm>
          <a:off x="3161161" y="528574"/>
          <a:ext cx="1486196" cy="965474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90000"/>
              <a:lumOff val="10000"/>
            </a:schemeClr>
          </a:solidFill>
        </a:ln>
        <a:scene3d>
          <a:camera prst="obliqueTopLef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Total           Profit</a:t>
          </a:r>
          <a:r>
            <a:rPr lang="en-IN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💵</a:t>
          </a:r>
          <a:r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     </a:t>
          </a:r>
          <a:fld id="{B938CC61-035B-4444-A538-22AB7F790A27}" type="TxLink"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pPr algn="ctr"/>
            <a:t>20.3L</a:t>
          </a:fld>
          <a:endParaRPr lang="en-US" sz="1400" b="1" i="0" u="none" strike="noStrike">
            <a:solidFill>
              <a:schemeClr val="tx2">
                <a:lumMod val="90000"/>
                <a:lumOff val="10000"/>
              </a:schemeClr>
            </a:solidFill>
            <a:latin typeface="Calibri"/>
            <a:ea typeface="Calibri"/>
            <a:cs typeface="Calibri"/>
          </a:endParaRPr>
        </a:p>
        <a:p>
          <a:pPr algn="ctr"/>
          <a:endParaRPr lang="en-IN" sz="1400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9</xdr:col>
      <xdr:colOff>20809</xdr:colOff>
      <xdr:row>2</xdr:row>
      <xdr:rowOff>1219</xdr:rowOff>
    </xdr:from>
    <xdr:to>
      <xdr:col>11</xdr:col>
      <xdr:colOff>285751</xdr:colOff>
      <xdr:row>7</xdr:row>
      <xdr:rowOff>25814</xdr:rowOff>
    </xdr:to>
    <xdr:sp macro="" textlink="$G$4">
      <xdr:nvSpPr>
        <xdr:cNvPr id="5" name="Rectangle: Rounded Corners 4">
          <a:extLst>
            <a:ext uri="{FF2B5EF4-FFF2-40B4-BE49-F238E27FC236}">
              <a16:creationId xmlns:a16="http://schemas.microsoft.com/office/drawing/2014/main" id="{4ABB7FCD-8EA0-30A6-1040-AA33CF5B0FFB}"/>
            </a:ext>
          </a:extLst>
        </xdr:cNvPr>
        <xdr:cNvSpPr/>
      </xdr:nvSpPr>
      <xdr:spPr>
        <a:xfrm>
          <a:off x="5598226" y="498636"/>
          <a:ext cx="1492608" cy="977095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90000"/>
              <a:lumOff val="10000"/>
            </a:schemeClr>
          </a:solidFill>
        </a:ln>
        <a:effectLst/>
        <a:scene3d>
          <a:camera prst="obliqueTopLef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t"/>
        <a:lstStyle/>
        <a:p>
          <a:pPr algn="ctr"/>
          <a:r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Number</a:t>
          </a:r>
          <a:r>
            <a:rPr lang="en-US" sz="14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 of Order</a:t>
          </a:r>
          <a:r>
            <a:rPr lang="en-IN" sz="14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🛒</a:t>
          </a:r>
          <a:endParaRPr lang="en-US" sz="14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Calibri"/>
            <a:ea typeface="Calibri"/>
            <a:cs typeface="Calibri"/>
          </a:endParaRPr>
        </a:p>
        <a:p>
          <a:pPr algn="ctr"/>
          <a:fld id="{AD2AFB78-1696-484A-AFF9-920940490308}" type="TxLink"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pPr algn="ctr"/>
            <a:t>100</a:t>
          </a:fld>
          <a:endParaRPr lang="en-IN" sz="1400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13</xdr:col>
      <xdr:colOff>28843</xdr:colOff>
      <xdr:row>2</xdr:row>
      <xdr:rowOff>6194</xdr:rowOff>
    </xdr:from>
    <xdr:to>
      <xdr:col>15</xdr:col>
      <xdr:colOff>303727</xdr:colOff>
      <xdr:row>7</xdr:row>
      <xdr:rowOff>13349</xdr:rowOff>
    </xdr:to>
    <xdr:sp macro="" textlink="$J$4">
      <xdr:nvSpPr>
        <xdr:cNvPr id="6" name="Rectangle: Rounded Corners 5">
          <a:extLst>
            <a:ext uri="{FF2B5EF4-FFF2-40B4-BE49-F238E27FC236}">
              <a16:creationId xmlns:a16="http://schemas.microsoft.com/office/drawing/2014/main" id="{EAD98E80-7296-62BC-99BB-A4971DAFC43E}"/>
            </a:ext>
          </a:extLst>
        </xdr:cNvPr>
        <xdr:cNvSpPr/>
      </xdr:nvSpPr>
      <xdr:spPr>
        <a:xfrm>
          <a:off x="8053329" y="502016"/>
          <a:ext cx="1501391" cy="985751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90000"/>
              <a:lumOff val="10000"/>
            </a:schemeClr>
          </a:solidFill>
        </a:ln>
        <a:scene3d>
          <a:camera prst="obliqueTopLef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Avg Order  Value</a:t>
          </a:r>
          <a:r>
            <a:rPr lang="en-IN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📄</a:t>
          </a:r>
          <a:r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   </a:t>
          </a:r>
          <a:fld id="{2672EA21-46E3-453D-BFA3-1F133ED6C7B8}" type="TxLink"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pPr algn="ctr"/>
            <a:t>27221.64</a:t>
          </a:fld>
          <a:endParaRPr lang="en-US" sz="1400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17</xdr:col>
      <xdr:colOff>14236</xdr:colOff>
      <xdr:row>1</xdr:row>
      <xdr:rowOff>183007</xdr:rowOff>
    </xdr:from>
    <xdr:to>
      <xdr:col>19</xdr:col>
      <xdr:colOff>275167</xdr:colOff>
      <xdr:row>6</xdr:row>
      <xdr:rowOff>187614</xdr:rowOff>
    </xdr:to>
    <xdr:sp macro="" textlink="$O$4">
      <xdr:nvSpPr>
        <xdr:cNvPr id="7" name="Rectangle: Rounded Corners 6">
          <a:extLst>
            <a:ext uri="{FF2B5EF4-FFF2-40B4-BE49-F238E27FC236}">
              <a16:creationId xmlns:a16="http://schemas.microsoft.com/office/drawing/2014/main" id="{21D97545-B8D3-3AF7-D8B3-DF49EB80F01A}"/>
            </a:ext>
          </a:extLst>
        </xdr:cNvPr>
        <xdr:cNvSpPr/>
      </xdr:nvSpPr>
      <xdr:spPr>
        <a:xfrm>
          <a:off x="10502319" y="489924"/>
          <a:ext cx="1488598" cy="957107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90000"/>
              <a:lumOff val="10000"/>
            </a:schemeClr>
          </a:solidFill>
        </a:ln>
        <a:scene3d>
          <a:camera prst="obliqueTopLef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Profit      </a:t>
          </a:r>
          <a:r>
            <a:rPr lang="en-US" sz="14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 Margin</a:t>
          </a:r>
          <a:r>
            <a:rPr lang="en-IN" sz="14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📈</a:t>
          </a:r>
          <a:r>
            <a:rPr lang="en-US" sz="14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   </a:t>
          </a:r>
          <a:fld id="{678EB46B-84C7-4F06-A0C7-D6716F7BE25E}" type="TxLink"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pPr algn="ctr"/>
            <a:t>25.3%</a:t>
          </a:fld>
          <a:endParaRPr lang="en-IN" sz="1400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</xdr:col>
      <xdr:colOff>19778</xdr:colOff>
      <xdr:row>2</xdr:row>
      <xdr:rowOff>17317</xdr:rowOff>
    </xdr:from>
    <xdr:to>
      <xdr:col>3</xdr:col>
      <xdr:colOff>222248</xdr:colOff>
      <xdr:row>6</xdr:row>
      <xdr:rowOff>189794</xdr:rowOff>
    </xdr:to>
    <xdr:sp macro="" textlink="$B$4">
      <xdr:nvSpPr>
        <xdr:cNvPr id="3" name="Rectangle: Rounded Corners 2">
          <a:extLst>
            <a:ext uri="{FF2B5EF4-FFF2-40B4-BE49-F238E27FC236}">
              <a16:creationId xmlns:a16="http://schemas.microsoft.com/office/drawing/2014/main" id="{1EBB0DBA-7F91-2F32-9E5A-1F7BF7C59DFD}"/>
            </a:ext>
          </a:extLst>
        </xdr:cNvPr>
        <xdr:cNvSpPr/>
      </xdr:nvSpPr>
      <xdr:spPr>
        <a:xfrm>
          <a:off x="686528" y="514734"/>
          <a:ext cx="1430137" cy="934477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90000"/>
              <a:lumOff val="10000"/>
            </a:schemeClr>
          </a:solidFill>
        </a:ln>
        <a:scene3d>
          <a:camera prst="obliqueTopLef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Total                  Sales</a:t>
          </a:r>
          <a:r>
            <a:rPr lang="en-IN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📊</a:t>
          </a:r>
          <a:r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t>      </a:t>
          </a:r>
          <a:fld id="{76BF711A-43C0-487A-85DD-603B3F4663B6}" type="TxLink">
            <a:rPr lang="en-US" sz="1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/>
              <a:ea typeface="Calibri"/>
              <a:cs typeface="Calibri"/>
            </a:rPr>
            <a:pPr algn="ctr"/>
            <a:t>27.2L</a:t>
          </a:fld>
          <a:endParaRPr lang="en-IN" sz="1400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0</xdr:col>
      <xdr:colOff>662981</xdr:colOff>
      <xdr:row>7</xdr:row>
      <xdr:rowOff>190499</xdr:rowOff>
    </xdr:from>
    <xdr:to>
      <xdr:col>5</xdr:col>
      <xdr:colOff>600786</xdr:colOff>
      <xdr:row>16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88A78C-8677-475B-9449-92A8EB0C4853}"/>
            </a:ext>
            <a:ext uri="{147F2762-F138-4A5C-976F-8EAC2B608ADB}">
              <a16:predDERef xmlns:a16="http://schemas.microsoft.com/office/drawing/2014/main" pred="{738C0518-E29E-2ED1-3D2C-B1F283316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511912</xdr:colOff>
      <xdr:row>8</xdr:row>
      <xdr:rowOff>14047</xdr:rowOff>
    </xdr:from>
    <xdr:to>
      <xdr:col>12</xdr:col>
      <xdr:colOff>511912</xdr:colOff>
      <xdr:row>17</xdr:row>
      <xdr:rowOff>13048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4CA46F-4D86-4F2C-9A74-E209A0A3CB2A}"/>
            </a:ext>
            <a:ext uri="{147F2762-F138-4A5C-976F-8EAC2B608ADB}">
              <a16:predDERef xmlns:a16="http://schemas.microsoft.com/office/drawing/2014/main" pred="{ED1F6526-DCE5-ECDB-4AA2-3301AD9EA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325431</xdr:colOff>
      <xdr:row>8</xdr:row>
      <xdr:rowOff>14338</xdr:rowOff>
    </xdr:from>
    <xdr:to>
      <xdr:col>19</xdr:col>
      <xdr:colOff>326198</xdr:colOff>
      <xdr:row>17</xdr:row>
      <xdr:rowOff>4812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4492739-A2B0-4ABA-A818-6E648469ADEA}"/>
            </a:ext>
            <a:ext uri="{147F2762-F138-4A5C-976F-8EAC2B608ADB}">
              <a16:predDERef xmlns:a16="http://schemas.microsoft.com/office/drawing/2014/main" pred="{72CE361B-96D2-45A8-8D0B-A3EC7DC92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317500</xdr:colOff>
      <xdr:row>18</xdr:row>
      <xdr:rowOff>36636</xdr:rowOff>
    </xdr:from>
    <xdr:to>
      <xdr:col>19</xdr:col>
      <xdr:colOff>341923</xdr:colOff>
      <xdr:row>28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244B11-C100-8FA1-FC00-F05575A40066}"/>
            </a:ext>
          </a:extLst>
        </xdr:cNvPr>
        <xdr:cNvSpPr txBox="1"/>
      </xdr:nvSpPr>
      <xdr:spPr>
        <a:xfrm>
          <a:off x="8926635" y="3687886"/>
          <a:ext cx="3077307" cy="2027114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ctr"/>
          <a:r>
            <a:rPr lang="en-IN" sz="1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IN" sz="1400" b="1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Business</a:t>
          </a:r>
          <a:r>
            <a:rPr lang="en-IN" sz="1400" b="1" baseline="0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Insights</a:t>
          </a:r>
        </a:p>
        <a:p>
          <a:pPr marL="171450" lvl="0" indent="-171450" algn="l">
            <a:buFont typeface="Wingdings" panose="05000000000000000000" pitchFamily="2" charset="2"/>
            <a:buChar char="q"/>
          </a:pPr>
          <a:r>
            <a:rPr lang="en-IN" sz="1100" b="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Gaming Mouse</a:t>
          </a:r>
          <a:r>
            <a:rPr lang="en-US" sz="1100" b="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🕹️ was the Highest-Selling📈 Product with </a:t>
          </a:r>
          <a:r>
            <a:rPr lang="en-US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45    Units.</a:t>
          </a:r>
        </a:p>
        <a:p>
          <a:pPr marL="171450" indent="-171450" algn="l">
            <a:buFont typeface="Wingdings" panose="05000000000000000000" pitchFamily="2" charset="2"/>
            <a:buChar char="q"/>
          </a:pPr>
          <a:r>
            <a:rPr lang="en-US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</a:t>
          </a:r>
          <a:r>
            <a:rPr lang="en-US" sz="1100" b="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Retail Stores generated more Orders📦than Online Stores.</a:t>
          </a:r>
        </a:p>
        <a:p>
          <a:pPr marL="171450" indent="-171450" algn="l">
            <a:buFont typeface="Wingdings" panose="05000000000000000000" pitchFamily="2" charset="2"/>
            <a:buChar char="q"/>
          </a:pPr>
          <a:r>
            <a:rPr lang="en-US" sz="1100" b="1" u="none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April </a:t>
          </a:r>
          <a:r>
            <a:rPr lang="en-US" sz="1100" b="0" u="none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had the Highest Sales 📈  thia year.</a:t>
          </a:r>
        </a:p>
        <a:p>
          <a:pPr marL="171450" indent="-171450" algn="l">
            <a:buFont typeface="Wingdings" panose="05000000000000000000" pitchFamily="2" charset="2"/>
            <a:buChar char="q"/>
          </a:pPr>
          <a:r>
            <a:rPr lang="en-US" sz="1100" b="0" u="none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Profit Margin💸 maintained at </a:t>
          </a:r>
          <a:r>
            <a:rPr lang="en-US" sz="1100" b="1" u="none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25%</a:t>
          </a:r>
          <a:r>
            <a:rPr lang="en-US" sz="1100" b="0" u="none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Indicating good pricing strategy.</a:t>
          </a:r>
        </a:p>
        <a:p>
          <a:pPr marL="171450" indent="-171450" algn="l">
            <a:buFont typeface="Wingdings" panose="05000000000000000000" pitchFamily="2" charset="2"/>
            <a:buChar char="q"/>
          </a:pPr>
          <a:r>
            <a:rPr lang="en-US" sz="1100" b="1" u="none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Combo deals 🤝</a:t>
          </a:r>
          <a:r>
            <a:rPr lang="en-US" sz="1100" b="0" u="none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on Top products can boost Revenue further.</a:t>
          </a:r>
          <a:endParaRPr lang="en-US" sz="1100" b="1" u="none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285750" indent="-285750" algn="l">
            <a:buFont typeface="Wingdings" panose="05000000000000000000" pitchFamily="2" charset="2"/>
            <a:buChar char="v"/>
          </a:pPr>
          <a:endParaRPr lang="en-US" sz="1100" b="0" u="none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285750" lvl="0" indent="-285750" algn="ctr">
            <a:buFont typeface="Wingdings" panose="05000000000000000000" pitchFamily="2" charset="2"/>
            <a:buChar char="v"/>
          </a:pPr>
          <a:endParaRPr lang="en-US" sz="1100" b="0" u="none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285750" lvl="0" indent="-285750" algn="l">
            <a:buFont typeface="Wingdings" panose="05000000000000000000" pitchFamily="2" charset="2"/>
            <a:buChar char="v"/>
          </a:pPr>
          <a:endParaRPr lang="en-US" sz="1100" b="0" u="none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285750" indent="-285750" algn="ctr">
            <a:buFont typeface="Wingdings" panose="05000000000000000000" pitchFamily="2" charset="2"/>
            <a:buChar char="v"/>
          </a:pPr>
          <a:endParaRPr lang="en-US" sz="1100" b="0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285750" indent="-285750" algn="ctr">
            <a:buFont typeface="Wingdings" panose="05000000000000000000" pitchFamily="2" charset="2"/>
            <a:buChar char="v"/>
          </a:pPr>
          <a:endParaRPr lang="en-IN" sz="1100" b="1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520289</xdr:colOff>
      <xdr:row>18</xdr:row>
      <xdr:rowOff>17061</xdr:rowOff>
    </xdr:from>
    <xdr:to>
      <xdr:col>12</xdr:col>
      <xdr:colOff>510285</xdr:colOff>
      <xdr:row>28</xdr:row>
      <xdr:rowOff>85482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CAE634-103D-4CB4-8281-066ABDE1FEF8}"/>
            </a:ext>
            <a:ext uri="{147F2762-F138-4A5C-976F-8EAC2B608ADB}">
              <a16:predDERef xmlns:a16="http://schemas.microsoft.com/office/drawing/2014/main" pred="{A0531A2D-AAD4-3BD7-AAD7-A9FF370E1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195719</xdr:colOff>
      <xdr:row>53</xdr:row>
      <xdr:rowOff>104383</xdr:rowOff>
    </xdr:from>
    <xdr:to>
      <xdr:col>4</xdr:col>
      <xdr:colOff>287054</xdr:colOff>
      <xdr:row>59</xdr:row>
      <xdr:rowOff>78288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95B79A3-AC03-1AAE-34E3-53504E6038BE}"/>
            </a:ext>
          </a:extLst>
        </xdr:cNvPr>
        <xdr:cNvSpPr txBox="1"/>
      </xdr:nvSpPr>
      <xdr:spPr>
        <a:xfrm>
          <a:off x="2700924" y="10621027"/>
          <a:ext cx="91335" cy="1148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oneCellAnchor>
    <xdr:from>
      <xdr:col>7</xdr:col>
      <xdr:colOff>378390</xdr:colOff>
      <xdr:row>34</xdr:row>
      <xdr:rowOff>78288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F1D8F47-8E2F-4CB6-4643-5F25F4237462}"/>
            </a:ext>
          </a:extLst>
        </xdr:cNvPr>
        <xdr:cNvSpPr txBox="1"/>
      </xdr:nvSpPr>
      <xdr:spPr>
        <a:xfrm>
          <a:off x="4723356" y="687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44.685713773149" createdVersion="8" refreshedVersion="8" minRefreshableVersion="3" recordCount="100" xr:uid="{05F028E3-AD4C-450F-917C-E11DBF6C7556}">
  <cacheSource type="worksheet">
    <worksheetSource ref="A1:L101" sheet="Sales_Data"/>
  </cacheSource>
  <cacheFields count="12">
    <cacheField name="Order ID" numFmtId="0">
      <sharedItems containsSemiMixedTypes="0" containsString="0" containsNumber="1" containsInteger="1" minValue="1001" maxValue="1100"/>
    </cacheField>
    <cacheField name=" Date" numFmtId="14">
      <sharedItems containsSemiMixedTypes="0" containsNonDate="0" containsDate="1" containsString="0" minDate="2025-01-03T00:00:00" maxDate="2025-06-30T00:00:00" count="79">
        <d v="2025-03-19T00:00:00"/>
        <d v="2025-01-27T00:00:00"/>
        <d v="2025-03-10T00:00:00"/>
        <d v="2025-02-22T00:00:00"/>
        <d v="2025-04-15T00:00:00"/>
        <d v="2025-04-22T00:00:00"/>
        <d v="2025-01-03T00:00:00"/>
        <d v="2025-06-10T00:00:00"/>
        <d v="2025-04-11T00:00:00"/>
        <d v="2025-06-25T00:00:00"/>
        <d v="2025-06-16T00:00:00"/>
        <d v="2025-05-06T00:00:00"/>
        <d v="2025-05-16T00:00:00"/>
        <d v="2025-02-28T00:00:00"/>
        <d v="2025-03-26T00:00:00"/>
        <d v="2025-06-12T00:00:00"/>
        <d v="2025-04-08T00:00:00"/>
        <d v="2025-06-28T00:00:00"/>
        <d v="2025-06-23T00:00:00"/>
        <d v="2025-02-08T00:00:00"/>
        <d v="2025-06-09T00:00:00"/>
        <d v="2025-06-20T00:00:00"/>
        <d v="2025-03-01T00:00:00"/>
        <d v="2025-04-06T00:00:00"/>
        <d v="2025-02-09T00:00:00"/>
        <d v="2025-01-20T00:00:00"/>
        <d v="2025-04-30T00:00:00"/>
        <d v="2025-03-04T00:00:00"/>
        <d v="2025-02-05T00:00:00"/>
        <d v="2025-04-24T00:00:00"/>
        <d v="2025-02-11T00:00:00"/>
        <d v="2025-03-28T00:00:00"/>
        <d v="2025-06-04T00:00:00"/>
        <d v="2025-03-13T00:00:00"/>
        <d v="2025-03-17T00:00:00"/>
        <d v="2025-06-24T00:00:00"/>
        <d v="2025-04-19T00:00:00"/>
        <d v="2025-06-11T00:00:00"/>
        <d v="2025-01-12T00:00:00"/>
        <d v="2025-05-19T00:00:00"/>
        <d v="2025-03-08T00:00:00"/>
        <d v="2025-02-21T00:00:00"/>
        <d v="2025-04-23T00:00:00"/>
        <d v="2025-05-02T00:00:00"/>
        <d v="2025-05-05T00:00:00"/>
        <d v="2025-03-21T00:00:00"/>
        <d v="2025-05-11T00:00:00"/>
        <d v="2025-05-14T00:00:00"/>
        <d v="2025-06-17T00:00:00"/>
        <d v="2025-01-28T00:00:00"/>
        <d v="2025-05-25T00:00:00"/>
        <d v="2025-04-03T00:00:00"/>
        <d v="2025-03-02T00:00:00"/>
        <d v="2025-01-16T00:00:00"/>
        <d v="2025-05-28T00:00:00"/>
        <d v="2025-01-22T00:00:00"/>
        <d v="2025-02-20T00:00:00"/>
        <d v="2025-03-30T00:00:00"/>
        <d v="2025-04-01T00:00:00"/>
        <d v="2025-03-06T00:00:00"/>
        <d v="2025-04-16T00:00:00"/>
        <d v="2025-04-21T00:00:00"/>
        <d v="2025-01-18T00:00:00"/>
        <d v="2025-03-24T00:00:00"/>
        <d v="2025-02-18T00:00:00"/>
        <d v="2025-01-31T00:00:00"/>
        <d v="2025-05-04T00:00:00"/>
        <d v="2025-04-25T00:00:00"/>
        <d v="2025-06-29T00:00:00"/>
        <d v="2025-01-11T00:00:00"/>
        <d v="2025-01-24T00:00:00"/>
        <d v="2025-05-20T00:00:00"/>
        <d v="2025-04-02T00:00:00"/>
        <d v="2025-03-09T00:00:00"/>
        <d v="2025-02-17T00:00:00"/>
        <d v="2025-06-06T00:00:00"/>
        <d v="2025-06-22T00:00:00"/>
        <d v="2025-05-18T00:00:00"/>
        <d v="2025-03-31T00:00:00"/>
      </sharedItems>
    </cacheField>
    <cacheField name="Customer Name" numFmtId="49">
      <sharedItems/>
    </cacheField>
    <cacheField name="Customer Name2" numFmtId="49">
      <sharedItems count="4">
        <s v="North"/>
        <s v="East"/>
        <s v="South"/>
        <s v="West"/>
      </sharedItems>
    </cacheField>
    <cacheField name="Product" numFmtId="0">
      <sharedItems/>
    </cacheField>
    <cacheField name="Category" numFmtId="0">
      <sharedItems count="3">
        <s v="Electronics"/>
        <s v="Computers"/>
        <s v="Accessories"/>
      </sharedItems>
    </cacheField>
    <cacheField name="Sales Channel" numFmtId="0">
      <sharedItems/>
    </cacheField>
    <cacheField name="Units Sold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899" maxValue="19752"/>
    </cacheField>
    <cacheField name="Total Sales" numFmtId="164">
      <sharedItems containsSemiMixedTypes="0" containsString="0" containsNumber="1" containsInteger="1" minValue="899" maxValue="93855"/>
    </cacheField>
    <cacheField name="Cost Price" numFmtId="164">
      <sharedItems containsSemiMixedTypes="0" containsString="0" containsNumber="1" containsInteger="1" minValue="744" maxValue="84064"/>
    </cacheField>
    <cacheField name="Profit" numFmtId="164">
      <sharedItems containsSemiMixedTypes="0" containsString="0" containsNumber="1" containsInteger="1" minValue="155" maxValue="237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44.715884259262" createdVersion="8" refreshedVersion="8" minRefreshableVersion="3" recordCount="100" xr:uid="{9B27FB21-A9A4-4BB9-96C8-7327E031F989}">
  <cacheSource type="worksheet">
    <worksheetSource ref="A1:M101" sheet="Sales_Data"/>
  </cacheSource>
  <cacheFields count="13">
    <cacheField name="Order ID" numFmtId="0">
      <sharedItems containsSemiMixedTypes="0" containsString="0" containsNumber="1" containsInteger="1" minValue="1001" maxValue="1100"/>
    </cacheField>
    <cacheField name=" Date" numFmtId="14">
      <sharedItems containsSemiMixedTypes="0" containsNonDate="0" containsDate="1" containsString="0" minDate="2025-01-03T00:00:00" maxDate="2025-06-30T00:00:00"/>
    </cacheField>
    <cacheField name="Customer Name" numFmtId="49">
      <sharedItems/>
    </cacheField>
    <cacheField name="Customer Region" numFmtId="49">
      <sharedItems/>
    </cacheField>
    <cacheField name="Product" numFmtId="0">
      <sharedItems count="8">
        <s v="Bluetooth Speaker"/>
        <s v="Smartwatch"/>
        <s v="LED Monitor"/>
        <s v="Backpack"/>
        <s v="Wireless Earbuds"/>
        <s v="Laptop"/>
        <s v="Gaming Mouse"/>
        <s v="Phone Case"/>
      </sharedItems>
    </cacheField>
    <cacheField name="Category" numFmtId="0">
      <sharedItems/>
    </cacheField>
    <cacheField name="Sales Channel" numFmtId="0">
      <sharedItems count="2">
        <s v="Online"/>
        <s v="Retail Store"/>
      </sharedItems>
    </cacheField>
    <cacheField name="Units Sold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899" maxValue="19752"/>
    </cacheField>
    <cacheField name="Total Sales" numFmtId="164">
      <sharedItems containsSemiMixedTypes="0" containsString="0" containsNumber="1" containsInteger="1" minValue="899" maxValue="93855"/>
    </cacheField>
    <cacheField name="Cost Price" numFmtId="164">
      <sharedItems containsSemiMixedTypes="0" containsString="0" containsNumber="1" containsInteger="1" minValue="744" maxValue="84064"/>
    </cacheField>
    <cacheField name="Profit" numFmtId="164">
      <sharedItems containsSemiMixedTypes="0" containsString="0" containsNumber="1" containsInteger="1" minValue="155" maxValue="23718"/>
    </cacheField>
    <cacheField name="Order  Months" numFmtId="0">
      <sharedItems count="6">
        <s v="March"/>
        <s v="January"/>
        <s v="February"/>
        <s v="April"/>
        <s v="June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s v="Customer 2"/>
    <x v="0"/>
    <s v="Bluetooth Speaker"/>
    <x v="0"/>
    <s v="Online"/>
    <n v="4"/>
    <n v="4650"/>
    <n v="18600"/>
    <n v="15331"/>
    <n v="3269"/>
  </r>
  <r>
    <n v="1002"/>
    <x v="1"/>
    <s v="Customer 12"/>
    <x v="1"/>
    <s v="Bluetooth Speaker"/>
    <x v="0"/>
    <s v="Online"/>
    <n v="5"/>
    <n v="6451"/>
    <n v="32255"/>
    <n v="25586"/>
    <n v="6669"/>
  </r>
  <r>
    <n v="1003"/>
    <x v="2"/>
    <s v="Customer 1"/>
    <x v="2"/>
    <s v="Smartwatch"/>
    <x v="0"/>
    <s v="Online"/>
    <n v="5"/>
    <n v="12003"/>
    <n v="60015"/>
    <n v="38515"/>
    <n v="21500"/>
  </r>
  <r>
    <n v="1004"/>
    <x v="3"/>
    <s v="Customer 34"/>
    <x v="2"/>
    <s v="LED Monitor"/>
    <x v="1"/>
    <s v="Online"/>
    <n v="2"/>
    <n v="13343"/>
    <n v="26686"/>
    <n v="23930"/>
    <n v="2756"/>
  </r>
  <r>
    <n v="1005"/>
    <x v="4"/>
    <s v="Customer 3"/>
    <x v="0"/>
    <s v="LED Monitor"/>
    <x v="1"/>
    <s v="Online"/>
    <n v="2"/>
    <n v="16723"/>
    <n v="33446"/>
    <n v="21829"/>
    <n v="11617"/>
  </r>
  <r>
    <n v="1006"/>
    <x v="5"/>
    <s v="Customer 22"/>
    <x v="1"/>
    <s v="Backpack"/>
    <x v="2"/>
    <s v="Online"/>
    <n v="3"/>
    <n v="2735"/>
    <n v="8205"/>
    <n v="5668"/>
    <n v="2537"/>
  </r>
  <r>
    <n v="1007"/>
    <x v="6"/>
    <s v="Customer 13"/>
    <x v="3"/>
    <s v="Wireless Earbuds"/>
    <x v="0"/>
    <s v="Retail Store"/>
    <n v="4"/>
    <n v="4919"/>
    <n v="19676"/>
    <n v="13615"/>
    <n v="6061"/>
  </r>
  <r>
    <n v="1008"/>
    <x v="7"/>
    <s v="Customer 29"/>
    <x v="3"/>
    <s v="Bluetooth Speaker"/>
    <x v="0"/>
    <s v="Retail Store"/>
    <n v="1"/>
    <n v="4264"/>
    <n v="4264"/>
    <n v="3636"/>
    <n v="628"/>
  </r>
  <r>
    <n v="1009"/>
    <x v="8"/>
    <s v="Customer 17"/>
    <x v="0"/>
    <s v="LED Monitor"/>
    <x v="1"/>
    <s v="Online"/>
    <n v="4"/>
    <n v="16447"/>
    <n v="65788"/>
    <n v="52329"/>
    <n v="13459"/>
  </r>
  <r>
    <n v="1010"/>
    <x v="9"/>
    <s v="Customer 34"/>
    <x v="0"/>
    <s v="Laptop"/>
    <x v="1"/>
    <s v="Retail Store"/>
    <n v="3"/>
    <n v="1796"/>
    <n v="5388"/>
    <n v="3515"/>
    <n v="1873"/>
  </r>
  <r>
    <n v="1011"/>
    <x v="10"/>
    <s v="Customer 5"/>
    <x v="3"/>
    <s v="Bluetooth Speaker"/>
    <x v="0"/>
    <s v="Online"/>
    <n v="4"/>
    <n v="8374"/>
    <n v="33496"/>
    <n v="26016"/>
    <n v="7480"/>
  </r>
  <r>
    <n v="1012"/>
    <x v="11"/>
    <s v="Customer 3"/>
    <x v="2"/>
    <s v="Gaming Mouse"/>
    <x v="1"/>
    <s v="Retail Store"/>
    <n v="1"/>
    <n v="10939"/>
    <n v="10939"/>
    <n v="8218"/>
    <n v="2721"/>
  </r>
  <r>
    <n v="1013"/>
    <x v="12"/>
    <s v="Customer 6"/>
    <x v="0"/>
    <s v="Laptop"/>
    <x v="1"/>
    <s v="Retail Store"/>
    <n v="1"/>
    <n v="6185"/>
    <n v="6185"/>
    <n v="4690"/>
    <n v="1495"/>
  </r>
  <r>
    <n v="1014"/>
    <x v="13"/>
    <s v="Customer 11"/>
    <x v="1"/>
    <s v="Bluetooth Speaker"/>
    <x v="0"/>
    <s v="Online"/>
    <n v="2"/>
    <n v="11066"/>
    <n v="22132"/>
    <n v="16925"/>
    <n v="5207"/>
  </r>
  <r>
    <n v="1015"/>
    <x v="14"/>
    <s v="Customer 28"/>
    <x v="1"/>
    <s v="Phone Case"/>
    <x v="2"/>
    <s v="Retail Store"/>
    <n v="2"/>
    <n v="2609"/>
    <n v="5218"/>
    <n v="3551"/>
    <n v="1667"/>
  </r>
  <r>
    <n v="1016"/>
    <x v="15"/>
    <s v="Customer 44"/>
    <x v="1"/>
    <s v="Laptop"/>
    <x v="1"/>
    <s v="Retail Store"/>
    <n v="2"/>
    <n v="2983"/>
    <n v="5966"/>
    <n v="4590"/>
    <n v="1376"/>
  </r>
  <r>
    <n v="1017"/>
    <x v="16"/>
    <s v="Customer 25"/>
    <x v="3"/>
    <s v="Laptop"/>
    <x v="1"/>
    <s v="Retail Store"/>
    <n v="5"/>
    <n v="5919"/>
    <n v="29595"/>
    <n v="17935"/>
    <n v="11660"/>
  </r>
  <r>
    <n v="1018"/>
    <x v="17"/>
    <s v="Customer 7"/>
    <x v="3"/>
    <s v="LED Monitor"/>
    <x v="1"/>
    <s v="Retail Store"/>
    <n v="1"/>
    <n v="11111"/>
    <n v="11111"/>
    <n v="7810"/>
    <n v="3301"/>
  </r>
  <r>
    <n v="1019"/>
    <x v="5"/>
    <s v="Customer 9"/>
    <x v="0"/>
    <s v="Laptop"/>
    <x v="1"/>
    <s v="Online"/>
    <n v="5"/>
    <n v="13127"/>
    <n v="65635"/>
    <n v="50343"/>
    <n v="15292"/>
  </r>
  <r>
    <n v="1020"/>
    <x v="18"/>
    <s v="Customer 43"/>
    <x v="3"/>
    <s v="Gaming Mouse"/>
    <x v="1"/>
    <s v="Retail Store"/>
    <n v="3"/>
    <n v="12413"/>
    <n v="37239"/>
    <n v="31069"/>
    <n v="6170"/>
  </r>
  <r>
    <n v="1021"/>
    <x v="19"/>
    <s v="Customer 40"/>
    <x v="2"/>
    <s v="LED Monitor"/>
    <x v="1"/>
    <s v="Online"/>
    <n v="1"/>
    <n v="13618"/>
    <n v="13618"/>
    <n v="12049"/>
    <n v="1569"/>
  </r>
  <r>
    <n v="1022"/>
    <x v="20"/>
    <s v="Customer 32"/>
    <x v="3"/>
    <s v="Phone Case"/>
    <x v="2"/>
    <s v="Online"/>
    <n v="3"/>
    <n v="4656"/>
    <n v="13968"/>
    <n v="12053"/>
    <n v="1915"/>
  </r>
  <r>
    <n v="1023"/>
    <x v="21"/>
    <s v="Customer 24"/>
    <x v="3"/>
    <s v="Smartwatch"/>
    <x v="0"/>
    <s v="Retail Store"/>
    <n v="1"/>
    <n v="19111"/>
    <n v="19111"/>
    <n v="12954"/>
    <n v="6157"/>
  </r>
  <r>
    <n v="1024"/>
    <x v="9"/>
    <s v="Customer 36"/>
    <x v="3"/>
    <s v="Gaming Mouse"/>
    <x v="1"/>
    <s v="Retail Store"/>
    <n v="2"/>
    <n v="16965"/>
    <n v="33930"/>
    <n v="30424"/>
    <n v="3506"/>
  </r>
  <r>
    <n v="1025"/>
    <x v="22"/>
    <s v="Customer 34"/>
    <x v="0"/>
    <s v="LED Monitor"/>
    <x v="1"/>
    <s v="Retail Store"/>
    <n v="1"/>
    <n v="18267"/>
    <n v="18267"/>
    <n v="13349"/>
    <n v="4918"/>
  </r>
  <r>
    <n v="1026"/>
    <x v="23"/>
    <s v="Customer 24"/>
    <x v="0"/>
    <s v="LED Monitor"/>
    <x v="1"/>
    <s v="Online"/>
    <n v="2"/>
    <n v="18759"/>
    <n v="37518"/>
    <n v="26891"/>
    <n v="10627"/>
  </r>
  <r>
    <n v="1027"/>
    <x v="24"/>
    <s v="Customer 22"/>
    <x v="0"/>
    <s v="Bluetooth Speaker"/>
    <x v="0"/>
    <s v="Retail Store"/>
    <n v="3"/>
    <n v="14385"/>
    <n v="43155"/>
    <n v="38070"/>
    <n v="5085"/>
  </r>
  <r>
    <n v="1028"/>
    <x v="25"/>
    <s v="Customer 29"/>
    <x v="1"/>
    <s v="Gaming Mouse"/>
    <x v="1"/>
    <s v="Retail Store"/>
    <n v="5"/>
    <n v="12596"/>
    <n v="62980"/>
    <n v="40175"/>
    <n v="22805"/>
  </r>
  <r>
    <n v="1029"/>
    <x v="26"/>
    <s v="Customer 47"/>
    <x v="2"/>
    <s v="Gaming Mouse"/>
    <x v="1"/>
    <s v="Online"/>
    <n v="5"/>
    <n v="16414"/>
    <n v="82070"/>
    <n v="58352"/>
    <n v="23718"/>
  </r>
  <r>
    <n v="1030"/>
    <x v="27"/>
    <s v="Customer 14"/>
    <x v="3"/>
    <s v="Wireless Earbuds"/>
    <x v="0"/>
    <s v="Online"/>
    <n v="2"/>
    <n v="16498"/>
    <n v="32996"/>
    <n v="23495"/>
    <n v="9501"/>
  </r>
  <r>
    <n v="1031"/>
    <x v="28"/>
    <s v="Customer 29"/>
    <x v="0"/>
    <s v="Bluetooth Speaker"/>
    <x v="0"/>
    <s v="Online"/>
    <n v="1"/>
    <n v="18515"/>
    <n v="18515"/>
    <n v="15475"/>
    <n v="3040"/>
  </r>
  <r>
    <n v="1032"/>
    <x v="29"/>
    <s v="Customer 37"/>
    <x v="0"/>
    <s v="Phone Case"/>
    <x v="2"/>
    <s v="Online"/>
    <n v="1"/>
    <n v="5907"/>
    <n v="5907"/>
    <n v="3719"/>
    <n v="2188"/>
  </r>
  <r>
    <n v="1033"/>
    <x v="30"/>
    <s v="Customer 50"/>
    <x v="0"/>
    <s v="Smartwatch"/>
    <x v="0"/>
    <s v="Online"/>
    <n v="3"/>
    <n v="10720"/>
    <n v="32160"/>
    <n v="24569"/>
    <n v="7591"/>
  </r>
  <r>
    <n v="1034"/>
    <x v="31"/>
    <s v="Customer 33"/>
    <x v="2"/>
    <s v="Gaming Mouse"/>
    <x v="1"/>
    <s v="Online"/>
    <n v="4"/>
    <n v="17096"/>
    <n v="68384"/>
    <n v="46662"/>
    <n v="21722"/>
  </r>
  <r>
    <n v="1035"/>
    <x v="32"/>
    <s v="Customer 9"/>
    <x v="1"/>
    <s v="Gaming Mouse"/>
    <x v="1"/>
    <s v="Retail Store"/>
    <n v="3"/>
    <n v="17295"/>
    <n v="51885"/>
    <n v="44875"/>
    <n v="7010"/>
  </r>
  <r>
    <n v="1036"/>
    <x v="33"/>
    <s v="Customer 25"/>
    <x v="1"/>
    <s v="LED Monitor"/>
    <x v="1"/>
    <s v="Online"/>
    <n v="2"/>
    <n v="2816"/>
    <n v="5632"/>
    <n v="3484"/>
    <n v="2148"/>
  </r>
  <r>
    <n v="1037"/>
    <x v="34"/>
    <s v="Customer 24"/>
    <x v="1"/>
    <s v="Smartwatch"/>
    <x v="0"/>
    <s v="Retail Store"/>
    <n v="1"/>
    <n v="2315"/>
    <n v="2315"/>
    <n v="1840"/>
    <n v="475"/>
  </r>
  <r>
    <n v="1038"/>
    <x v="35"/>
    <s v="Customer 4"/>
    <x v="3"/>
    <s v="Gaming Mouse"/>
    <x v="1"/>
    <s v="Online"/>
    <n v="3"/>
    <n v="11837"/>
    <n v="35511"/>
    <n v="25607"/>
    <n v="9904"/>
  </r>
  <r>
    <n v="1039"/>
    <x v="36"/>
    <s v="Customer 39"/>
    <x v="0"/>
    <s v="Gaming Mouse"/>
    <x v="1"/>
    <s v="Retail Store"/>
    <n v="5"/>
    <n v="14947"/>
    <n v="74735"/>
    <n v="62755"/>
    <n v="11980"/>
  </r>
  <r>
    <n v="1040"/>
    <x v="37"/>
    <s v="Customer 45"/>
    <x v="1"/>
    <s v="Laptop"/>
    <x v="1"/>
    <s v="Retail Store"/>
    <n v="4"/>
    <n v="2823"/>
    <n v="11292"/>
    <n v="6943"/>
    <n v="4349"/>
  </r>
  <r>
    <n v="1041"/>
    <x v="0"/>
    <s v="Customer 50"/>
    <x v="0"/>
    <s v="Bluetooth Speaker"/>
    <x v="0"/>
    <s v="Online"/>
    <n v="3"/>
    <n v="4183"/>
    <n v="12549"/>
    <n v="8946"/>
    <n v="3603"/>
  </r>
  <r>
    <n v="1042"/>
    <x v="32"/>
    <s v="Customer 19"/>
    <x v="2"/>
    <s v="Phone Case"/>
    <x v="2"/>
    <s v="Online"/>
    <n v="4"/>
    <n v="11743"/>
    <n v="46972"/>
    <n v="31164"/>
    <n v="15808"/>
  </r>
  <r>
    <n v="1043"/>
    <x v="22"/>
    <s v="Customer 7"/>
    <x v="3"/>
    <s v="Backpack"/>
    <x v="2"/>
    <s v="Online"/>
    <n v="5"/>
    <n v="9047"/>
    <n v="45235"/>
    <n v="29557"/>
    <n v="15678"/>
  </r>
  <r>
    <n v="1044"/>
    <x v="38"/>
    <s v="Customer 12"/>
    <x v="2"/>
    <s v="Phone Case"/>
    <x v="2"/>
    <s v="Retail Store"/>
    <n v="5"/>
    <n v="1008"/>
    <n v="5040"/>
    <n v="3875"/>
    <n v="1165"/>
  </r>
  <r>
    <n v="1045"/>
    <x v="39"/>
    <s v="Customer 31"/>
    <x v="0"/>
    <s v="Wireless Earbuds"/>
    <x v="0"/>
    <s v="Retail Store"/>
    <n v="4"/>
    <n v="2384"/>
    <n v="9536"/>
    <n v="7991"/>
    <n v="1545"/>
  </r>
  <r>
    <n v="1046"/>
    <x v="40"/>
    <s v="Customer 19"/>
    <x v="3"/>
    <s v="Phone Case"/>
    <x v="2"/>
    <s v="Retail Store"/>
    <n v="3"/>
    <n v="17570"/>
    <n v="52710"/>
    <n v="46902"/>
    <n v="5808"/>
  </r>
  <r>
    <n v="1047"/>
    <x v="41"/>
    <s v="Customer 27"/>
    <x v="3"/>
    <s v="Laptop"/>
    <x v="1"/>
    <s v="Retail Store"/>
    <n v="2"/>
    <n v="3679"/>
    <n v="7358"/>
    <n v="5073"/>
    <n v="2285"/>
  </r>
  <r>
    <n v="1048"/>
    <x v="42"/>
    <s v="Customer 36"/>
    <x v="0"/>
    <s v="Phone Case"/>
    <x v="2"/>
    <s v="Online"/>
    <n v="5"/>
    <n v="18771"/>
    <n v="93855"/>
    <n v="84064"/>
    <n v="9791"/>
  </r>
  <r>
    <n v="1049"/>
    <x v="43"/>
    <s v="Customer 20"/>
    <x v="0"/>
    <s v="Backpack"/>
    <x v="2"/>
    <s v="Retail Store"/>
    <n v="4"/>
    <n v="3043"/>
    <n v="12172"/>
    <n v="9121"/>
    <n v="3051"/>
  </r>
  <r>
    <n v="1050"/>
    <x v="44"/>
    <s v="Customer 49"/>
    <x v="1"/>
    <s v="Backpack"/>
    <x v="2"/>
    <s v="Retail Store"/>
    <n v="1"/>
    <n v="17020"/>
    <n v="17020"/>
    <n v="11139"/>
    <n v="5881"/>
  </r>
  <r>
    <n v="1051"/>
    <x v="45"/>
    <s v="Customer 32"/>
    <x v="0"/>
    <s v="LED Monitor"/>
    <x v="1"/>
    <s v="Online"/>
    <n v="1"/>
    <n v="11932"/>
    <n v="11932"/>
    <n v="8056"/>
    <n v="3876"/>
  </r>
  <r>
    <n v="1052"/>
    <x v="8"/>
    <s v="Customer 38"/>
    <x v="1"/>
    <s v="Laptop"/>
    <x v="1"/>
    <s v="Retail Store"/>
    <n v="5"/>
    <n v="7808"/>
    <n v="39040"/>
    <n v="24513"/>
    <n v="14527"/>
  </r>
  <r>
    <n v="1053"/>
    <x v="10"/>
    <s v="Customer 50"/>
    <x v="0"/>
    <s v="Backpack"/>
    <x v="2"/>
    <s v="Retail Store"/>
    <n v="1"/>
    <n v="17998"/>
    <n v="17998"/>
    <n v="14741"/>
    <n v="3257"/>
  </r>
  <r>
    <n v="1054"/>
    <x v="46"/>
    <s v="Customer 22"/>
    <x v="0"/>
    <s v="Bluetooth Speaker"/>
    <x v="0"/>
    <s v="Online"/>
    <n v="3"/>
    <n v="7929"/>
    <n v="23787"/>
    <n v="18627"/>
    <n v="5160"/>
  </r>
  <r>
    <n v="1055"/>
    <x v="15"/>
    <s v="Customer 5"/>
    <x v="0"/>
    <s v="Smartwatch"/>
    <x v="0"/>
    <s v="Retail Store"/>
    <n v="4"/>
    <n v="7221"/>
    <n v="28884"/>
    <n v="22644"/>
    <n v="6240"/>
  </r>
  <r>
    <n v="1056"/>
    <x v="47"/>
    <s v="Customer 44"/>
    <x v="0"/>
    <s v="LED Monitor"/>
    <x v="1"/>
    <s v="Online"/>
    <n v="3"/>
    <n v="17104"/>
    <n v="51312"/>
    <n v="32100"/>
    <n v="19212"/>
  </r>
  <r>
    <n v="1057"/>
    <x v="48"/>
    <s v="Customer 44"/>
    <x v="3"/>
    <s v="Laptop"/>
    <x v="1"/>
    <s v="Retail Store"/>
    <n v="1"/>
    <n v="3906"/>
    <n v="3906"/>
    <n v="2827"/>
    <n v="1079"/>
  </r>
  <r>
    <n v="1058"/>
    <x v="14"/>
    <s v="Customer 25"/>
    <x v="3"/>
    <s v="LED Monitor"/>
    <x v="1"/>
    <s v="Online"/>
    <n v="5"/>
    <n v="2563"/>
    <n v="12815"/>
    <n v="10157"/>
    <n v="2658"/>
  </r>
  <r>
    <n v="1059"/>
    <x v="5"/>
    <s v="Customer 22"/>
    <x v="3"/>
    <s v="Gaming Mouse"/>
    <x v="1"/>
    <s v="Retail Store"/>
    <n v="4"/>
    <n v="10573"/>
    <n v="42292"/>
    <n v="32023"/>
    <n v="10269"/>
  </r>
  <r>
    <n v="1060"/>
    <x v="49"/>
    <s v="Customer 32"/>
    <x v="0"/>
    <s v="Smartwatch"/>
    <x v="0"/>
    <s v="Retail Store"/>
    <n v="2"/>
    <n v="1828"/>
    <n v="3656"/>
    <n v="2265"/>
    <n v="1391"/>
  </r>
  <r>
    <n v="1061"/>
    <x v="50"/>
    <s v="Customer 4"/>
    <x v="0"/>
    <s v="Smartwatch"/>
    <x v="0"/>
    <s v="Retail Store"/>
    <n v="5"/>
    <n v="8457"/>
    <n v="42285"/>
    <n v="32538"/>
    <n v="9747"/>
  </r>
  <r>
    <n v="1062"/>
    <x v="51"/>
    <s v="Customer 15"/>
    <x v="3"/>
    <s v="Smartwatch"/>
    <x v="0"/>
    <s v="Online"/>
    <n v="3"/>
    <n v="17404"/>
    <n v="52212"/>
    <n v="34338"/>
    <n v="17874"/>
  </r>
  <r>
    <n v="1063"/>
    <x v="52"/>
    <s v="Customer 4"/>
    <x v="1"/>
    <s v="Backpack"/>
    <x v="2"/>
    <s v="Retail Store"/>
    <n v="3"/>
    <n v="3023"/>
    <n v="9069"/>
    <n v="6421"/>
    <n v="2648"/>
  </r>
  <r>
    <n v="1064"/>
    <x v="53"/>
    <s v="Customer 15"/>
    <x v="2"/>
    <s v="Backpack"/>
    <x v="2"/>
    <s v="Online"/>
    <n v="2"/>
    <n v="9504"/>
    <n v="19008"/>
    <n v="11979"/>
    <n v="7029"/>
  </r>
  <r>
    <n v="1065"/>
    <x v="54"/>
    <s v="Customer 20"/>
    <x v="3"/>
    <s v="Laptop"/>
    <x v="1"/>
    <s v="Online"/>
    <n v="2"/>
    <n v="18086"/>
    <n v="36172"/>
    <n v="29088"/>
    <n v="7084"/>
  </r>
  <r>
    <n v="1066"/>
    <x v="55"/>
    <s v="Customer 16"/>
    <x v="2"/>
    <s v="LED Monitor"/>
    <x v="1"/>
    <s v="Retail Store"/>
    <n v="4"/>
    <n v="2529"/>
    <n v="10116"/>
    <n v="7329"/>
    <n v="2787"/>
  </r>
  <r>
    <n v="1067"/>
    <x v="56"/>
    <s v="Customer 18"/>
    <x v="0"/>
    <s v="LED Monitor"/>
    <x v="1"/>
    <s v="Online"/>
    <n v="4"/>
    <n v="1713"/>
    <n v="6852"/>
    <n v="4296"/>
    <n v="2556"/>
  </r>
  <r>
    <n v="1068"/>
    <x v="57"/>
    <s v="Customer 45"/>
    <x v="3"/>
    <s v="Backpack"/>
    <x v="2"/>
    <s v="Retail Store"/>
    <n v="2"/>
    <n v="10272"/>
    <n v="20544"/>
    <n v="17056"/>
    <n v="3488"/>
  </r>
  <r>
    <n v="1069"/>
    <x v="58"/>
    <s v="Customer 41"/>
    <x v="0"/>
    <s v="Backpack"/>
    <x v="2"/>
    <s v="Retail Store"/>
    <n v="5"/>
    <n v="1429"/>
    <n v="7145"/>
    <n v="5657"/>
    <n v="1488"/>
  </r>
  <r>
    <n v="1070"/>
    <x v="59"/>
    <s v="Customer 15"/>
    <x v="3"/>
    <s v="Bluetooth Speaker"/>
    <x v="0"/>
    <s v="Retail Store"/>
    <n v="2"/>
    <n v="4680"/>
    <n v="9360"/>
    <n v="6034"/>
    <n v="3326"/>
  </r>
  <r>
    <n v="1071"/>
    <x v="60"/>
    <s v="Customer 28"/>
    <x v="3"/>
    <s v="Wireless Earbuds"/>
    <x v="0"/>
    <s v="Retail Store"/>
    <n v="1"/>
    <n v="2442"/>
    <n v="2442"/>
    <n v="1814"/>
    <n v="628"/>
  </r>
  <r>
    <n v="1072"/>
    <x v="61"/>
    <s v="Customer 27"/>
    <x v="0"/>
    <s v="Smartwatch"/>
    <x v="0"/>
    <s v="Retail Store"/>
    <n v="5"/>
    <n v="1766"/>
    <n v="8830"/>
    <n v="6674"/>
    <n v="2156"/>
  </r>
  <r>
    <n v="1073"/>
    <x v="62"/>
    <s v="Customer 43"/>
    <x v="3"/>
    <s v="Bluetooth Speaker"/>
    <x v="0"/>
    <s v="Retail Store"/>
    <n v="4"/>
    <n v="7800"/>
    <n v="31200"/>
    <n v="19083"/>
    <n v="12117"/>
  </r>
  <r>
    <n v="1074"/>
    <x v="63"/>
    <s v="Customer 9"/>
    <x v="0"/>
    <s v="Bluetooth Speaker"/>
    <x v="0"/>
    <s v="Online"/>
    <n v="3"/>
    <n v="12755"/>
    <n v="38265"/>
    <n v="27581"/>
    <n v="10684"/>
  </r>
  <r>
    <n v="1075"/>
    <x v="64"/>
    <s v="Customer 41"/>
    <x v="2"/>
    <s v="LED Monitor"/>
    <x v="1"/>
    <s v="Online"/>
    <n v="3"/>
    <n v="18615"/>
    <n v="55845"/>
    <n v="34805"/>
    <n v="21040"/>
  </r>
  <r>
    <n v="1076"/>
    <x v="55"/>
    <s v="Customer 2"/>
    <x v="2"/>
    <s v="Backpack"/>
    <x v="2"/>
    <s v="Retail Store"/>
    <n v="1"/>
    <n v="899"/>
    <n v="899"/>
    <n v="744"/>
    <n v="155"/>
  </r>
  <r>
    <n v="1077"/>
    <x v="65"/>
    <s v="Customer 37"/>
    <x v="2"/>
    <s v="Phone Case"/>
    <x v="2"/>
    <s v="Retail Store"/>
    <n v="4"/>
    <n v="4101"/>
    <n v="16404"/>
    <n v="14106"/>
    <n v="2298"/>
  </r>
  <r>
    <n v="1078"/>
    <x v="66"/>
    <s v="Customer 30"/>
    <x v="1"/>
    <s v="LED Monitor"/>
    <x v="1"/>
    <s v="Online"/>
    <n v="5"/>
    <n v="10884"/>
    <n v="54420"/>
    <n v="44312"/>
    <n v="10108"/>
  </r>
  <r>
    <n v="1079"/>
    <x v="32"/>
    <s v="Customer 4"/>
    <x v="1"/>
    <s v="Gaming Mouse"/>
    <x v="1"/>
    <s v="Online"/>
    <n v="2"/>
    <n v="10187"/>
    <n v="20374"/>
    <n v="17379"/>
    <n v="2995"/>
  </r>
  <r>
    <n v="1080"/>
    <x v="26"/>
    <s v="Customer 16"/>
    <x v="0"/>
    <s v="Wireless Earbuds"/>
    <x v="0"/>
    <s v="Retail Store"/>
    <n v="1"/>
    <n v="3173"/>
    <n v="3173"/>
    <n v="2158"/>
    <n v="1015"/>
  </r>
  <r>
    <n v="1081"/>
    <x v="67"/>
    <s v="Customer 18"/>
    <x v="0"/>
    <s v="Phone Case"/>
    <x v="2"/>
    <s v="Retail Store"/>
    <n v="4"/>
    <n v="5088"/>
    <n v="20352"/>
    <n v="17316"/>
    <n v="3036"/>
  </r>
  <r>
    <n v="1082"/>
    <x v="68"/>
    <s v="Customer 12"/>
    <x v="1"/>
    <s v="Wireless Earbuds"/>
    <x v="0"/>
    <s v="Retail Store"/>
    <n v="1"/>
    <n v="9626"/>
    <n v="9626"/>
    <n v="7328"/>
    <n v="2298"/>
  </r>
  <r>
    <n v="1083"/>
    <x v="16"/>
    <s v="Customer 23"/>
    <x v="3"/>
    <s v="Backpack"/>
    <x v="2"/>
    <s v="Online"/>
    <n v="3"/>
    <n v="5043"/>
    <n v="15129"/>
    <n v="12028"/>
    <n v="3101"/>
  </r>
  <r>
    <n v="1084"/>
    <x v="69"/>
    <s v="Customer 40"/>
    <x v="1"/>
    <s v="Laptop"/>
    <x v="1"/>
    <s v="Retail Store"/>
    <n v="1"/>
    <n v="2920"/>
    <n v="2920"/>
    <n v="2472"/>
    <n v="448"/>
  </r>
  <r>
    <n v="1085"/>
    <x v="52"/>
    <s v="Customer 10"/>
    <x v="3"/>
    <s v="Smartwatch"/>
    <x v="0"/>
    <s v="Retail Store"/>
    <n v="1"/>
    <n v="19752"/>
    <n v="19752"/>
    <n v="16332"/>
    <n v="3420"/>
  </r>
  <r>
    <n v="1086"/>
    <x v="70"/>
    <s v="Customer 12"/>
    <x v="2"/>
    <s v="Bluetooth Speaker"/>
    <x v="0"/>
    <s v="Online"/>
    <n v="1"/>
    <n v="15177"/>
    <n v="15177"/>
    <n v="13069"/>
    <n v="2108"/>
  </r>
  <r>
    <n v="1087"/>
    <x v="71"/>
    <s v="Customer 20"/>
    <x v="2"/>
    <s v="Wireless Earbuds"/>
    <x v="0"/>
    <s v="Online"/>
    <n v="1"/>
    <n v="7541"/>
    <n v="7541"/>
    <n v="4975"/>
    <n v="2566"/>
  </r>
  <r>
    <n v="1088"/>
    <x v="72"/>
    <s v="Customer 21"/>
    <x v="1"/>
    <s v="Wireless Earbuds"/>
    <x v="0"/>
    <s v="Retail Store"/>
    <n v="3"/>
    <n v="11387"/>
    <n v="34161"/>
    <n v="21712"/>
    <n v="12449"/>
  </r>
  <r>
    <n v="1089"/>
    <x v="73"/>
    <s v="Customer 22"/>
    <x v="3"/>
    <s v="Smartwatch"/>
    <x v="0"/>
    <s v="Online"/>
    <n v="2"/>
    <n v="16755"/>
    <n v="33510"/>
    <n v="27229"/>
    <n v="6281"/>
  </r>
  <r>
    <n v="1090"/>
    <x v="63"/>
    <s v="Customer 27"/>
    <x v="3"/>
    <s v="Gaming Mouse"/>
    <x v="1"/>
    <s v="Retail Store"/>
    <n v="5"/>
    <n v="16239"/>
    <n v="81195"/>
    <n v="60240"/>
    <n v="20955"/>
  </r>
  <r>
    <n v="1091"/>
    <x v="47"/>
    <s v="Customer 7"/>
    <x v="1"/>
    <s v="Bluetooth Speaker"/>
    <x v="0"/>
    <s v="Online"/>
    <n v="4"/>
    <n v="7341"/>
    <n v="29364"/>
    <n v="23526"/>
    <n v="5838"/>
  </r>
  <r>
    <n v="1092"/>
    <x v="74"/>
    <s v="Customer 7"/>
    <x v="0"/>
    <s v="Backpack"/>
    <x v="2"/>
    <s v="Retail Store"/>
    <n v="5"/>
    <n v="12486"/>
    <n v="62430"/>
    <n v="43652"/>
    <n v="18778"/>
  </r>
  <r>
    <n v="1093"/>
    <x v="75"/>
    <s v="Customer 9"/>
    <x v="3"/>
    <s v="Phone Case"/>
    <x v="2"/>
    <s v="Retail Store"/>
    <n v="4"/>
    <n v="16193"/>
    <n v="64772"/>
    <n v="44184"/>
    <n v="20588"/>
  </r>
  <r>
    <n v="1094"/>
    <x v="7"/>
    <s v="Customer 30"/>
    <x v="1"/>
    <s v="Backpack"/>
    <x v="2"/>
    <s v="Retail Store"/>
    <n v="3"/>
    <n v="13412"/>
    <n v="40236"/>
    <n v="24272"/>
    <n v="15964"/>
  </r>
  <r>
    <n v="1095"/>
    <x v="14"/>
    <s v="Customer 24"/>
    <x v="3"/>
    <s v="Bluetooth Speaker"/>
    <x v="0"/>
    <s v="Online"/>
    <n v="3"/>
    <n v="13011"/>
    <n v="39033"/>
    <n v="24116"/>
    <n v="14917"/>
  </r>
  <r>
    <n v="1096"/>
    <x v="76"/>
    <s v="Customer 35"/>
    <x v="1"/>
    <s v="Laptop"/>
    <x v="1"/>
    <s v="Retail Store"/>
    <n v="3"/>
    <n v="8942"/>
    <n v="26826"/>
    <n v="23737"/>
    <n v="3089"/>
  </r>
  <r>
    <n v="1097"/>
    <x v="53"/>
    <s v="Customer 3"/>
    <x v="1"/>
    <s v="Gaming Mouse"/>
    <x v="1"/>
    <s v="Retail Store"/>
    <n v="3"/>
    <n v="2556"/>
    <n v="7668"/>
    <n v="5911"/>
    <n v="1757"/>
  </r>
  <r>
    <n v="1098"/>
    <x v="77"/>
    <s v="Customer 12"/>
    <x v="2"/>
    <s v="Smartwatch"/>
    <x v="0"/>
    <s v="Online"/>
    <n v="2"/>
    <n v="18028"/>
    <n v="36056"/>
    <n v="31732"/>
    <n v="4324"/>
  </r>
  <r>
    <n v="1099"/>
    <x v="78"/>
    <s v="Customer 31"/>
    <x v="0"/>
    <s v="Phone Case"/>
    <x v="2"/>
    <s v="Online"/>
    <n v="1"/>
    <n v="12844"/>
    <n v="12844"/>
    <n v="10591"/>
    <n v="2253"/>
  </r>
  <r>
    <n v="1100"/>
    <x v="60"/>
    <s v="Customer 25"/>
    <x v="2"/>
    <s v="Wireless Earbuds"/>
    <x v="0"/>
    <s v="Online"/>
    <n v="1"/>
    <n v="15100"/>
    <n v="15100"/>
    <n v="11454"/>
    <n v="364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d v="2025-03-19T00:00:00"/>
    <s v="Customer 2"/>
    <s v="North"/>
    <x v="0"/>
    <s v="Electronics"/>
    <x v="0"/>
    <n v="4"/>
    <n v="4650"/>
    <n v="18600"/>
    <n v="15331"/>
    <n v="3269"/>
    <x v="0"/>
  </r>
  <r>
    <n v="1002"/>
    <d v="2025-01-27T00:00:00"/>
    <s v="Customer 12"/>
    <s v="East"/>
    <x v="0"/>
    <s v="Electronics"/>
    <x v="0"/>
    <n v="5"/>
    <n v="6451"/>
    <n v="32255"/>
    <n v="25586"/>
    <n v="6669"/>
    <x v="1"/>
  </r>
  <r>
    <n v="1003"/>
    <d v="2025-03-10T00:00:00"/>
    <s v="Customer 1"/>
    <s v="South"/>
    <x v="1"/>
    <s v="Electronics"/>
    <x v="0"/>
    <n v="5"/>
    <n v="12003"/>
    <n v="60015"/>
    <n v="38515"/>
    <n v="21500"/>
    <x v="0"/>
  </r>
  <r>
    <n v="1004"/>
    <d v="2025-02-22T00:00:00"/>
    <s v="Customer 34"/>
    <s v="South"/>
    <x v="2"/>
    <s v="Computers"/>
    <x v="0"/>
    <n v="2"/>
    <n v="13343"/>
    <n v="26686"/>
    <n v="23930"/>
    <n v="2756"/>
    <x v="2"/>
  </r>
  <r>
    <n v="1005"/>
    <d v="2025-04-15T00:00:00"/>
    <s v="Customer 3"/>
    <s v="North"/>
    <x v="2"/>
    <s v="Computers"/>
    <x v="0"/>
    <n v="2"/>
    <n v="16723"/>
    <n v="33446"/>
    <n v="21829"/>
    <n v="11617"/>
    <x v="3"/>
  </r>
  <r>
    <n v="1006"/>
    <d v="2025-04-22T00:00:00"/>
    <s v="Customer 22"/>
    <s v="East"/>
    <x v="3"/>
    <s v="Accessories"/>
    <x v="0"/>
    <n v="3"/>
    <n v="2735"/>
    <n v="8205"/>
    <n v="5668"/>
    <n v="2537"/>
    <x v="3"/>
  </r>
  <r>
    <n v="1007"/>
    <d v="2025-01-03T00:00:00"/>
    <s v="Customer 13"/>
    <s v="West"/>
    <x v="4"/>
    <s v="Electronics"/>
    <x v="1"/>
    <n v="4"/>
    <n v="4919"/>
    <n v="19676"/>
    <n v="13615"/>
    <n v="6061"/>
    <x v="1"/>
  </r>
  <r>
    <n v="1008"/>
    <d v="2025-06-10T00:00:00"/>
    <s v="Customer 29"/>
    <s v="West"/>
    <x v="0"/>
    <s v="Electronics"/>
    <x v="1"/>
    <n v="1"/>
    <n v="4264"/>
    <n v="4264"/>
    <n v="3636"/>
    <n v="628"/>
    <x v="4"/>
  </r>
  <r>
    <n v="1009"/>
    <d v="2025-04-11T00:00:00"/>
    <s v="Customer 17"/>
    <s v="North"/>
    <x v="2"/>
    <s v="Computers"/>
    <x v="0"/>
    <n v="4"/>
    <n v="16447"/>
    <n v="65788"/>
    <n v="52329"/>
    <n v="13459"/>
    <x v="3"/>
  </r>
  <r>
    <n v="1010"/>
    <d v="2025-06-25T00:00:00"/>
    <s v="Customer 34"/>
    <s v="North"/>
    <x v="5"/>
    <s v="Computers"/>
    <x v="1"/>
    <n v="3"/>
    <n v="1796"/>
    <n v="5388"/>
    <n v="3515"/>
    <n v="1873"/>
    <x v="4"/>
  </r>
  <r>
    <n v="1011"/>
    <d v="2025-06-16T00:00:00"/>
    <s v="Customer 5"/>
    <s v="West"/>
    <x v="0"/>
    <s v="Electronics"/>
    <x v="0"/>
    <n v="4"/>
    <n v="8374"/>
    <n v="33496"/>
    <n v="26016"/>
    <n v="7480"/>
    <x v="4"/>
  </r>
  <r>
    <n v="1012"/>
    <d v="2025-05-06T00:00:00"/>
    <s v="Customer 3"/>
    <s v="South"/>
    <x v="6"/>
    <s v="Computers"/>
    <x v="1"/>
    <n v="1"/>
    <n v="10939"/>
    <n v="10939"/>
    <n v="8218"/>
    <n v="2721"/>
    <x v="5"/>
  </r>
  <r>
    <n v="1013"/>
    <d v="2025-05-16T00:00:00"/>
    <s v="Customer 6"/>
    <s v="North"/>
    <x v="5"/>
    <s v="Computers"/>
    <x v="1"/>
    <n v="1"/>
    <n v="6185"/>
    <n v="6185"/>
    <n v="4690"/>
    <n v="1495"/>
    <x v="5"/>
  </r>
  <r>
    <n v="1014"/>
    <d v="2025-02-28T00:00:00"/>
    <s v="Customer 11"/>
    <s v="East"/>
    <x v="0"/>
    <s v="Electronics"/>
    <x v="0"/>
    <n v="2"/>
    <n v="11066"/>
    <n v="22132"/>
    <n v="16925"/>
    <n v="5207"/>
    <x v="2"/>
  </r>
  <r>
    <n v="1015"/>
    <d v="2025-03-26T00:00:00"/>
    <s v="Customer 28"/>
    <s v="East"/>
    <x v="7"/>
    <s v="Accessories"/>
    <x v="1"/>
    <n v="2"/>
    <n v="2609"/>
    <n v="5218"/>
    <n v="3551"/>
    <n v="1667"/>
    <x v="0"/>
  </r>
  <r>
    <n v="1016"/>
    <d v="2025-06-12T00:00:00"/>
    <s v="Customer 44"/>
    <s v="East"/>
    <x v="5"/>
    <s v="Computers"/>
    <x v="1"/>
    <n v="2"/>
    <n v="2983"/>
    <n v="5966"/>
    <n v="4590"/>
    <n v="1376"/>
    <x v="4"/>
  </r>
  <r>
    <n v="1017"/>
    <d v="2025-04-08T00:00:00"/>
    <s v="Customer 25"/>
    <s v="West"/>
    <x v="5"/>
    <s v="Computers"/>
    <x v="1"/>
    <n v="5"/>
    <n v="5919"/>
    <n v="29595"/>
    <n v="17935"/>
    <n v="11660"/>
    <x v="3"/>
  </r>
  <r>
    <n v="1018"/>
    <d v="2025-06-28T00:00:00"/>
    <s v="Customer 7"/>
    <s v="West"/>
    <x v="2"/>
    <s v="Computers"/>
    <x v="1"/>
    <n v="1"/>
    <n v="11111"/>
    <n v="11111"/>
    <n v="7810"/>
    <n v="3301"/>
    <x v="4"/>
  </r>
  <r>
    <n v="1019"/>
    <d v="2025-04-22T00:00:00"/>
    <s v="Customer 9"/>
    <s v="North"/>
    <x v="5"/>
    <s v="Computers"/>
    <x v="0"/>
    <n v="5"/>
    <n v="13127"/>
    <n v="65635"/>
    <n v="50343"/>
    <n v="15292"/>
    <x v="3"/>
  </r>
  <r>
    <n v="1020"/>
    <d v="2025-06-23T00:00:00"/>
    <s v="Customer 43"/>
    <s v="West"/>
    <x v="6"/>
    <s v="Computers"/>
    <x v="1"/>
    <n v="3"/>
    <n v="12413"/>
    <n v="37239"/>
    <n v="31069"/>
    <n v="6170"/>
    <x v="4"/>
  </r>
  <r>
    <n v="1021"/>
    <d v="2025-02-08T00:00:00"/>
    <s v="Customer 40"/>
    <s v="South"/>
    <x v="2"/>
    <s v="Computers"/>
    <x v="0"/>
    <n v="1"/>
    <n v="13618"/>
    <n v="13618"/>
    <n v="12049"/>
    <n v="1569"/>
    <x v="2"/>
  </r>
  <r>
    <n v="1022"/>
    <d v="2025-06-09T00:00:00"/>
    <s v="Customer 32"/>
    <s v="West"/>
    <x v="7"/>
    <s v="Accessories"/>
    <x v="0"/>
    <n v="3"/>
    <n v="4656"/>
    <n v="13968"/>
    <n v="12053"/>
    <n v="1915"/>
    <x v="4"/>
  </r>
  <r>
    <n v="1023"/>
    <d v="2025-06-20T00:00:00"/>
    <s v="Customer 24"/>
    <s v="West"/>
    <x v="1"/>
    <s v="Electronics"/>
    <x v="1"/>
    <n v="1"/>
    <n v="19111"/>
    <n v="19111"/>
    <n v="12954"/>
    <n v="6157"/>
    <x v="4"/>
  </r>
  <r>
    <n v="1024"/>
    <d v="2025-06-25T00:00:00"/>
    <s v="Customer 36"/>
    <s v="West"/>
    <x v="6"/>
    <s v="Computers"/>
    <x v="1"/>
    <n v="2"/>
    <n v="16965"/>
    <n v="33930"/>
    <n v="30424"/>
    <n v="3506"/>
    <x v="4"/>
  </r>
  <r>
    <n v="1025"/>
    <d v="2025-03-01T00:00:00"/>
    <s v="Customer 34"/>
    <s v="North"/>
    <x v="2"/>
    <s v="Computers"/>
    <x v="1"/>
    <n v="1"/>
    <n v="18267"/>
    <n v="18267"/>
    <n v="13349"/>
    <n v="4918"/>
    <x v="0"/>
  </r>
  <r>
    <n v="1026"/>
    <d v="2025-04-06T00:00:00"/>
    <s v="Customer 24"/>
    <s v="North"/>
    <x v="2"/>
    <s v="Computers"/>
    <x v="0"/>
    <n v="2"/>
    <n v="18759"/>
    <n v="37518"/>
    <n v="26891"/>
    <n v="10627"/>
    <x v="3"/>
  </r>
  <r>
    <n v="1027"/>
    <d v="2025-02-09T00:00:00"/>
    <s v="Customer 22"/>
    <s v="North"/>
    <x v="0"/>
    <s v="Electronics"/>
    <x v="1"/>
    <n v="3"/>
    <n v="14385"/>
    <n v="43155"/>
    <n v="38070"/>
    <n v="5085"/>
    <x v="2"/>
  </r>
  <r>
    <n v="1028"/>
    <d v="2025-01-20T00:00:00"/>
    <s v="Customer 29"/>
    <s v="East"/>
    <x v="6"/>
    <s v="Computers"/>
    <x v="1"/>
    <n v="5"/>
    <n v="12596"/>
    <n v="62980"/>
    <n v="40175"/>
    <n v="22805"/>
    <x v="1"/>
  </r>
  <r>
    <n v="1029"/>
    <d v="2025-04-30T00:00:00"/>
    <s v="Customer 47"/>
    <s v="South"/>
    <x v="6"/>
    <s v="Computers"/>
    <x v="0"/>
    <n v="5"/>
    <n v="16414"/>
    <n v="82070"/>
    <n v="58352"/>
    <n v="23718"/>
    <x v="3"/>
  </r>
  <r>
    <n v="1030"/>
    <d v="2025-03-04T00:00:00"/>
    <s v="Customer 14"/>
    <s v="West"/>
    <x v="4"/>
    <s v="Electronics"/>
    <x v="0"/>
    <n v="2"/>
    <n v="16498"/>
    <n v="32996"/>
    <n v="23495"/>
    <n v="9501"/>
    <x v="0"/>
  </r>
  <r>
    <n v="1031"/>
    <d v="2025-02-05T00:00:00"/>
    <s v="Customer 29"/>
    <s v="North"/>
    <x v="0"/>
    <s v="Electronics"/>
    <x v="0"/>
    <n v="1"/>
    <n v="18515"/>
    <n v="18515"/>
    <n v="15475"/>
    <n v="3040"/>
    <x v="2"/>
  </r>
  <r>
    <n v="1032"/>
    <d v="2025-04-24T00:00:00"/>
    <s v="Customer 37"/>
    <s v="North"/>
    <x v="7"/>
    <s v="Accessories"/>
    <x v="0"/>
    <n v="1"/>
    <n v="5907"/>
    <n v="5907"/>
    <n v="3719"/>
    <n v="2188"/>
    <x v="3"/>
  </r>
  <r>
    <n v="1033"/>
    <d v="2025-02-11T00:00:00"/>
    <s v="Customer 50"/>
    <s v="North"/>
    <x v="1"/>
    <s v="Electronics"/>
    <x v="0"/>
    <n v="3"/>
    <n v="10720"/>
    <n v="32160"/>
    <n v="24569"/>
    <n v="7591"/>
    <x v="2"/>
  </r>
  <r>
    <n v="1034"/>
    <d v="2025-03-28T00:00:00"/>
    <s v="Customer 33"/>
    <s v="South"/>
    <x v="6"/>
    <s v="Computers"/>
    <x v="0"/>
    <n v="4"/>
    <n v="17096"/>
    <n v="68384"/>
    <n v="46662"/>
    <n v="21722"/>
    <x v="0"/>
  </r>
  <r>
    <n v="1035"/>
    <d v="2025-06-04T00:00:00"/>
    <s v="Customer 9"/>
    <s v="East"/>
    <x v="6"/>
    <s v="Computers"/>
    <x v="1"/>
    <n v="3"/>
    <n v="17295"/>
    <n v="51885"/>
    <n v="44875"/>
    <n v="7010"/>
    <x v="4"/>
  </r>
  <r>
    <n v="1036"/>
    <d v="2025-03-13T00:00:00"/>
    <s v="Customer 25"/>
    <s v="East"/>
    <x v="2"/>
    <s v="Computers"/>
    <x v="0"/>
    <n v="2"/>
    <n v="2816"/>
    <n v="5632"/>
    <n v="3484"/>
    <n v="2148"/>
    <x v="0"/>
  </r>
  <r>
    <n v="1037"/>
    <d v="2025-03-17T00:00:00"/>
    <s v="Customer 24"/>
    <s v="East"/>
    <x v="1"/>
    <s v="Electronics"/>
    <x v="1"/>
    <n v="1"/>
    <n v="2315"/>
    <n v="2315"/>
    <n v="1840"/>
    <n v="475"/>
    <x v="0"/>
  </r>
  <r>
    <n v="1038"/>
    <d v="2025-06-24T00:00:00"/>
    <s v="Customer 4"/>
    <s v="West"/>
    <x v="6"/>
    <s v="Computers"/>
    <x v="0"/>
    <n v="3"/>
    <n v="11837"/>
    <n v="35511"/>
    <n v="25607"/>
    <n v="9904"/>
    <x v="4"/>
  </r>
  <r>
    <n v="1039"/>
    <d v="2025-04-19T00:00:00"/>
    <s v="Customer 39"/>
    <s v="North"/>
    <x v="6"/>
    <s v="Computers"/>
    <x v="1"/>
    <n v="5"/>
    <n v="14947"/>
    <n v="74735"/>
    <n v="62755"/>
    <n v="11980"/>
    <x v="3"/>
  </r>
  <r>
    <n v="1040"/>
    <d v="2025-06-11T00:00:00"/>
    <s v="Customer 45"/>
    <s v="East"/>
    <x v="5"/>
    <s v="Computers"/>
    <x v="1"/>
    <n v="4"/>
    <n v="2823"/>
    <n v="11292"/>
    <n v="6943"/>
    <n v="4349"/>
    <x v="4"/>
  </r>
  <r>
    <n v="1041"/>
    <d v="2025-03-19T00:00:00"/>
    <s v="Customer 50"/>
    <s v="North"/>
    <x v="0"/>
    <s v="Electronics"/>
    <x v="0"/>
    <n v="3"/>
    <n v="4183"/>
    <n v="12549"/>
    <n v="8946"/>
    <n v="3603"/>
    <x v="0"/>
  </r>
  <r>
    <n v="1042"/>
    <d v="2025-06-04T00:00:00"/>
    <s v="Customer 19"/>
    <s v="South"/>
    <x v="7"/>
    <s v="Accessories"/>
    <x v="0"/>
    <n v="4"/>
    <n v="11743"/>
    <n v="46972"/>
    <n v="31164"/>
    <n v="15808"/>
    <x v="4"/>
  </r>
  <r>
    <n v="1043"/>
    <d v="2025-03-01T00:00:00"/>
    <s v="Customer 7"/>
    <s v="West"/>
    <x v="3"/>
    <s v="Accessories"/>
    <x v="0"/>
    <n v="5"/>
    <n v="9047"/>
    <n v="45235"/>
    <n v="29557"/>
    <n v="15678"/>
    <x v="0"/>
  </r>
  <r>
    <n v="1044"/>
    <d v="2025-01-12T00:00:00"/>
    <s v="Customer 12"/>
    <s v="South"/>
    <x v="7"/>
    <s v="Accessories"/>
    <x v="1"/>
    <n v="5"/>
    <n v="1008"/>
    <n v="5040"/>
    <n v="3875"/>
    <n v="1165"/>
    <x v="1"/>
  </r>
  <r>
    <n v="1045"/>
    <d v="2025-05-19T00:00:00"/>
    <s v="Customer 31"/>
    <s v="North"/>
    <x v="4"/>
    <s v="Electronics"/>
    <x v="1"/>
    <n v="4"/>
    <n v="2384"/>
    <n v="9536"/>
    <n v="7991"/>
    <n v="1545"/>
    <x v="5"/>
  </r>
  <r>
    <n v="1046"/>
    <d v="2025-03-08T00:00:00"/>
    <s v="Customer 19"/>
    <s v="West"/>
    <x v="7"/>
    <s v="Accessories"/>
    <x v="1"/>
    <n v="3"/>
    <n v="17570"/>
    <n v="52710"/>
    <n v="46902"/>
    <n v="5808"/>
    <x v="0"/>
  </r>
  <r>
    <n v="1047"/>
    <d v="2025-02-21T00:00:00"/>
    <s v="Customer 27"/>
    <s v="West"/>
    <x v="5"/>
    <s v="Computers"/>
    <x v="1"/>
    <n v="2"/>
    <n v="3679"/>
    <n v="7358"/>
    <n v="5073"/>
    <n v="2285"/>
    <x v="2"/>
  </r>
  <r>
    <n v="1048"/>
    <d v="2025-04-23T00:00:00"/>
    <s v="Customer 36"/>
    <s v="North"/>
    <x v="7"/>
    <s v="Accessories"/>
    <x v="0"/>
    <n v="5"/>
    <n v="18771"/>
    <n v="93855"/>
    <n v="84064"/>
    <n v="9791"/>
    <x v="3"/>
  </r>
  <r>
    <n v="1049"/>
    <d v="2025-05-02T00:00:00"/>
    <s v="Customer 20"/>
    <s v="North"/>
    <x v="3"/>
    <s v="Accessories"/>
    <x v="1"/>
    <n v="4"/>
    <n v="3043"/>
    <n v="12172"/>
    <n v="9121"/>
    <n v="3051"/>
    <x v="5"/>
  </r>
  <r>
    <n v="1050"/>
    <d v="2025-05-05T00:00:00"/>
    <s v="Customer 49"/>
    <s v="East"/>
    <x v="3"/>
    <s v="Accessories"/>
    <x v="1"/>
    <n v="1"/>
    <n v="17020"/>
    <n v="17020"/>
    <n v="11139"/>
    <n v="5881"/>
    <x v="5"/>
  </r>
  <r>
    <n v="1051"/>
    <d v="2025-03-21T00:00:00"/>
    <s v="Customer 32"/>
    <s v="North"/>
    <x v="2"/>
    <s v="Computers"/>
    <x v="0"/>
    <n v="1"/>
    <n v="11932"/>
    <n v="11932"/>
    <n v="8056"/>
    <n v="3876"/>
    <x v="0"/>
  </r>
  <r>
    <n v="1052"/>
    <d v="2025-04-11T00:00:00"/>
    <s v="Customer 38"/>
    <s v="East"/>
    <x v="5"/>
    <s v="Computers"/>
    <x v="1"/>
    <n v="5"/>
    <n v="7808"/>
    <n v="39040"/>
    <n v="24513"/>
    <n v="14527"/>
    <x v="3"/>
  </r>
  <r>
    <n v="1053"/>
    <d v="2025-06-16T00:00:00"/>
    <s v="Customer 50"/>
    <s v="North"/>
    <x v="3"/>
    <s v="Accessories"/>
    <x v="1"/>
    <n v="1"/>
    <n v="17998"/>
    <n v="17998"/>
    <n v="14741"/>
    <n v="3257"/>
    <x v="4"/>
  </r>
  <r>
    <n v="1054"/>
    <d v="2025-05-11T00:00:00"/>
    <s v="Customer 22"/>
    <s v="North"/>
    <x v="0"/>
    <s v="Electronics"/>
    <x v="0"/>
    <n v="3"/>
    <n v="7929"/>
    <n v="23787"/>
    <n v="18627"/>
    <n v="5160"/>
    <x v="5"/>
  </r>
  <r>
    <n v="1055"/>
    <d v="2025-06-12T00:00:00"/>
    <s v="Customer 5"/>
    <s v="North"/>
    <x v="1"/>
    <s v="Electronics"/>
    <x v="1"/>
    <n v="4"/>
    <n v="7221"/>
    <n v="28884"/>
    <n v="22644"/>
    <n v="6240"/>
    <x v="4"/>
  </r>
  <r>
    <n v="1056"/>
    <d v="2025-05-14T00:00:00"/>
    <s v="Customer 44"/>
    <s v="North"/>
    <x v="2"/>
    <s v="Computers"/>
    <x v="0"/>
    <n v="3"/>
    <n v="17104"/>
    <n v="51312"/>
    <n v="32100"/>
    <n v="19212"/>
    <x v="5"/>
  </r>
  <r>
    <n v="1057"/>
    <d v="2025-06-17T00:00:00"/>
    <s v="Customer 44"/>
    <s v="West"/>
    <x v="5"/>
    <s v="Computers"/>
    <x v="1"/>
    <n v="1"/>
    <n v="3906"/>
    <n v="3906"/>
    <n v="2827"/>
    <n v="1079"/>
    <x v="4"/>
  </r>
  <r>
    <n v="1058"/>
    <d v="2025-03-26T00:00:00"/>
    <s v="Customer 25"/>
    <s v="West"/>
    <x v="2"/>
    <s v="Computers"/>
    <x v="0"/>
    <n v="5"/>
    <n v="2563"/>
    <n v="12815"/>
    <n v="10157"/>
    <n v="2658"/>
    <x v="0"/>
  </r>
  <r>
    <n v="1059"/>
    <d v="2025-04-22T00:00:00"/>
    <s v="Customer 22"/>
    <s v="West"/>
    <x v="6"/>
    <s v="Computers"/>
    <x v="1"/>
    <n v="4"/>
    <n v="10573"/>
    <n v="42292"/>
    <n v="32023"/>
    <n v="10269"/>
    <x v="3"/>
  </r>
  <r>
    <n v="1060"/>
    <d v="2025-01-28T00:00:00"/>
    <s v="Customer 32"/>
    <s v="North"/>
    <x v="1"/>
    <s v="Electronics"/>
    <x v="1"/>
    <n v="2"/>
    <n v="1828"/>
    <n v="3656"/>
    <n v="2265"/>
    <n v="1391"/>
    <x v="1"/>
  </r>
  <r>
    <n v="1061"/>
    <d v="2025-05-25T00:00:00"/>
    <s v="Customer 4"/>
    <s v="North"/>
    <x v="1"/>
    <s v="Electronics"/>
    <x v="1"/>
    <n v="5"/>
    <n v="8457"/>
    <n v="42285"/>
    <n v="32538"/>
    <n v="9747"/>
    <x v="5"/>
  </r>
  <r>
    <n v="1062"/>
    <d v="2025-04-03T00:00:00"/>
    <s v="Customer 15"/>
    <s v="West"/>
    <x v="1"/>
    <s v="Electronics"/>
    <x v="0"/>
    <n v="3"/>
    <n v="17404"/>
    <n v="52212"/>
    <n v="34338"/>
    <n v="17874"/>
    <x v="3"/>
  </r>
  <r>
    <n v="1063"/>
    <d v="2025-03-02T00:00:00"/>
    <s v="Customer 4"/>
    <s v="East"/>
    <x v="3"/>
    <s v="Accessories"/>
    <x v="1"/>
    <n v="3"/>
    <n v="3023"/>
    <n v="9069"/>
    <n v="6421"/>
    <n v="2648"/>
    <x v="0"/>
  </r>
  <r>
    <n v="1064"/>
    <d v="2025-01-16T00:00:00"/>
    <s v="Customer 15"/>
    <s v="South"/>
    <x v="3"/>
    <s v="Accessories"/>
    <x v="0"/>
    <n v="2"/>
    <n v="9504"/>
    <n v="19008"/>
    <n v="11979"/>
    <n v="7029"/>
    <x v="1"/>
  </r>
  <r>
    <n v="1065"/>
    <d v="2025-05-28T00:00:00"/>
    <s v="Customer 20"/>
    <s v="West"/>
    <x v="5"/>
    <s v="Computers"/>
    <x v="0"/>
    <n v="2"/>
    <n v="18086"/>
    <n v="36172"/>
    <n v="29088"/>
    <n v="7084"/>
    <x v="5"/>
  </r>
  <r>
    <n v="1066"/>
    <d v="2025-01-22T00:00:00"/>
    <s v="Customer 16"/>
    <s v="South"/>
    <x v="2"/>
    <s v="Computers"/>
    <x v="1"/>
    <n v="4"/>
    <n v="2529"/>
    <n v="10116"/>
    <n v="7329"/>
    <n v="2787"/>
    <x v="1"/>
  </r>
  <r>
    <n v="1067"/>
    <d v="2025-02-20T00:00:00"/>
    <s v="Customer 18"/>
    <s v="North"/>
    <x v="2"/>
    <s v="Computers"/>
    <x v="0"/>
    <n v="4"/>
    <n v="1713"/>
    <n v="6852"/>
    <n v="4296"/>
    <n v="2556"/>
    <x v="2"/>
  </r>
  <r>
    <n v="1068"/>
    <d v="2025-03-30T00:00:00"/>
    <s v="Customer 45"/>
    <s v="West"/>
    <x v="3"/>
    <s v="Accessories"/>
    <x v="1"/>
    <n v="2"/>
    <n v="10272"/>
    <n v="20544"/>
    <n v="17056"/>
    <n v="3488"/>
    <x v="0"/>
  </r>
  <r>
    <n v="1069"/>
    <d v="2025-04-01T00:00:00"/>
    <s v="Customer 41"/>
    <s v="North"/>
    <x v="3"/>
    <s v="Accessories"/>
    <x v="1"/>
    <n v="5"/>
    <n v="1429"/>
    <n v="7145"/>
    <n v="5657"/>
    <n v="1488"/>
    <x v="3"/>
  </r>
  <r>
    <n v="1070"/>
    <d v="2025-03-06T00:00:00"/>
    <s v="Customer 15"/>
    <s v="West"/>
    <x v="0"/>
    <s v="Electronics"/>
    <x v="1"/>
    <n v="2"/>
    <n v="4680"/>
    <n v="9360"/>
    <n v="6034"/>
    <n v="3326"/>
    <x v="0"/>
  </r>
  <r>
    <n v="1071"/>
    <d v="2025-04-16T00:00:00"/>
    <s v="Customer 28"/>
    <s v="West"/>
    <x v="4"/>
    <s v="Electronics"/>
    <x v="1"/>
    <n v="1"/>
    <n v="2442"/>
    <n v="2442"/>
    <n v="1814"/>
    <n v="628"/>
    <x v="3"/>
  </r>
  <r>
    <n v="1072"/>
    <d v="2025-04-21T00:00:00"/>
    <s v="Customer 27"/>
    <s v="North"/>
    <x v="1"/>
    <s v="Electronics"/>
    <x v="1"/>
    <n v="5"/>
    <n v="1766"/>
    <n v="8830"/>
    <n v="6674"/>
    <n v="2156"/>
    <x v="3"/>
  </r>
  <r>
    <n v="1073"/>
    <d v="2025-01-18T00:00:00"/>
    <s v="Customer 43"/>
    <s v="West"/>
    <x v="0"/>
    <s v="Electronics"/>
    <x v="1"/>
    <n v="4"/>
    <n v="7800"/>
    <n v="31200"/>
    <n v="19083"/>
    <n v="12117"/>
    <x v="1"/>
  </r>
  <r>
    <n v="1074"/>
    <d v="2025-03-24T00:00:00"/>
    <s v="Customer 9"/>
    <s v="North"/>
    <x v="0"/>
    <s v="Electronics"/>
    <x v="0"/>
    <n v="3"/>
    <n v="12755"/>
    <n v="38265"/>
    <n v="27581"/>
    <n v="10684"/>
    <x v="0"/>
  </r>
  <r>
    <n v="1075"/>
    <d v="2025-02-18T00:00:00"/>
    <s v="Customer 41"/>
    <s v="South"/>
    <x v="2"/>
    <s v="Computers"/>
    <x v="0"/>
    <n v="3"/>
    <n v="18615"/>
    <n v="55845"/>
    <n v="34805"/>
    <n v="21040"/>
    <x v="2"/>
  </r>
  <r>
    <n v="1076"/>
    <d v="2025-01-22T00:00:00"/>
    <s v="Customer 2"/>
    <s v="South"/>
    <x v="3"/>
    <s v="Accessories"/>
    <x v="1"/>
    <n v="1"/>
    <n v="899"/>
    <n v="899"/>
    <n v="744"/>
    <n v="155"/>
    <x v="1"/>
  </r>
  <r>
    <n v="1077"/>
    <d v="2025-01-31T00:00:00"/>
    <s v="Customer 37"/>
    <s v="South"/>
    <x v="7"/>
    <s v="Accessories"/>
    <x v="1"/>
    <n v="4"/>
    <n v="4101"/>
    <n v="16404"/>
    <n v="14106"/>
    <n v="2298"/>
    <x v="1"/>
  </r>
  <r>
    <n v="1078"/>
    <d v="2025-05-04T00:00:00"/>
    <s v="Customer 30"/>
    <s v="East"/>
    <x v="2"/>
    <s v="Computers"/>
    <x v="0"/>
    <n v="5"/>
    <n v="10884"/>
    <n v="54420"/>
    <n v="44312"/>
    <n v="10108"/>
    <x v="5"/>
  </r>
  <r>
    <n v="1079"/>
    <d v="2025-06-04T00:00:00"/>
    <s v="Customer 4"/>
    <s v="East"/>
    <x v="6"/>
    <s v="Computers"/>
    <x v="0"/>
    <n v="2"/>
    <n v="10187"/>
    <n v="20374"/>
    <n v="17379"/>
    <n v="2995"/>
    <x v="4"/>
  </r>
  <r>
    <n v="1080"/>
    <d v="2025-04-30T00:00:00"/>
    <s v="Customer 16"/>
    <s v="North"/>
    <x v="4"/>
    <s v="Electronics"/>
    <x v="1"/>
    <n v="1"/>
    <n v="3173"/>
    <n v="3173"/>
    <n v="2158"/>
    <n v="1015"/>
    <x v="3"/>
  </r>
  <r>
    <n v="1081"/>
    <d v="2025-04-25T00:00:00"/>
    <s v="Customer 18"/>
    <s v="North"/>
    <x v="7"/>
    <s v="Accessories"/>
    <x v="1"/>
    <n v="4"/>
    <n v="5088"/>
    <n v="20352"/>
    <n v="17316"/>
    <n v="3036"/>
    <x v="3"/>
  </r>
  <r>
    <n v="1082"/>
    <d v="2025-06-29T00:00:00"/>
    <s v="Customer 12"/>
    <s v="East"/>
    <x v="4"/>
    <s v="Electronics"/>
    <x v="1"/>
    <n v="1"/>
    <n v="9626"/>
    <n v="9626"/>
    <n v="7328"/>
    <n v="2298"/>
    <x v="4"/>
  </r>
  <r>
    <n v="1083"/>
    <d v="2025-04-08T00:00:00"/>
    <s v="Customer 23"/>
    <s v="West"/>
    <x v="3"/>
    <s v="Accessories"/>
    <x v="0"/>
    <n v="3"/>
    <n v="5043"/>
    <n v="15129"/>
    <n v="12028"/>
    <n v="3101"/>
    <x v="3"/>
  </r>
  <r>
    <n v="1084"/>
    <d v="2025-01-11T00:00:00"/>
    <s v="Customer 40"/>
    <s v="East"/>
    <x v="5"/>
    <s v="Computers"/>
    <x v="1"/>
    <n v="1"/>
    <n v="2920"/>
    <n v="2920"/>
    <n v="2472"/>
    <n v="448"/>
    <x v="1"/>
  </r>
  <r>
    <n v="1085"/>
    <d v="2025-03-02T00:00:00"/>
    <s v="Customer 10"/>
    <s v="West"/>
    <x v="1"/>
    <s v="Electronics"/>
    <x v="1"/>
    <n v="1"/>
    <n v="19752"/>
    <n v="19752"/>
    <n v="16332"/>
    <n v="3420"/>
    <x v="0"/>
  </r>
  <r>
    <n v="1086"/>
    <d v="2025-01-24T00:00:00"/>
    <s v="Customer 12"/>
    <s v="South"/>
    <x v="0"/>
    <s v="Electronics"/>
    <x v="0"/>
    <n v="1"/>
    <n v="15177"/>
    <n v="15177"/>
    <n v="13069"/>
    <n v="2108"/>
    <x v="1"/>
  </r>
  <r>
    <n v="1087"/>
    <d v="2025-05-20T00:00:00"/>
    <s v="Customer 20"/>
    <s v="South"/>
    <x v="4"/>
    <s v="Electronics"/>
    <x v="0"/>
    <n v="1"/>
    <n v="7541"/>
    <n v="7541"/>
    <n v="4975"/>
    <n v="2566"/>
    <x v="5"/>
  </r>
  <r>
    <n v="1088"/>
    <d v="2025-04-02T00:00:00"/>
    <s v="Customer 21"/>
    <s v="East"/>
    <x v="4"/>
    <s v="Electronics"/>
    <x v="1"/>
    <n v="3"/>
    <n v="11387"/>
    <n v="34161"/>
    <n v="21712"/>
    <n v="12449"/>
    <x v="3"/>
  </r>
  <r>
    <n v="1089"/>
    <d v="2025-03-09T00:00:00"/>
    <s v="Customer 22"/>
    <s v="West"/>
    <x v="1"/>
    <s v="Electronics"/>
    <x v="0"/>
    <n v="2"/>
    <n v="16755"/>
    <n v="33510"/>
    <n v="27229"/>
    <n v="6281"/>
    <x v="0"/>
  </r>
  <r>
    <n v="1090"/>
    <d v="2025-03-24T00:00:00"/>
    <s v="Customer 27"/>
    <s v="West"/>
    <x v="6"/>
    <s v="Computers"/>
    <x v="1"/>
    <n v="5"/>
    <n v="16239"/>
    <n v="81195"/>
    <n v="60240"/>
    <n v="20955"/>
    <x v="0"/>
  </r>
  <r>
    <n v="1091"/>
    <d v="2025-05-14T00:00:00"/>
    <s v="Customer 7"/>
    <s v="East"/>
    <x v="0"/>
    <s v="Electronics"/>
    <x v="0"/>
    <n v="4"/>
    <n v="7341"/>
    <n v="29364"/>
    <n v="23526"/>
    <n v="5838"/>
    <x v="5"/>
  </r>
  <r>
    <n v="1092"/>
    <d v="2025-02-17T00:00:00"/>
    <s v="Customer 7"/>
    <s v="North"/>
    <x v="3"/>
    <s v="Accessories"/>
    <x v="1"/>
    <n v="5"/>
    <n v="12486"/>
    <n v="62430"/>
    <n v="43652"/>
    <n v="18778"/>
    <x v="2"/>
  </r>
  <r>
    <n v="1093"/>
    <d v="2025-06-06T00:00:00"/>
    <s v="Customer 9"/>
    <s v="West"/>
    <x v="7"/>
    <s v="Accessories"/>
    <x v="1"/>
    <n v="4"/>
    <n v="16193"/>
    <n v="64772"/>
    <n v="44184"/>
    <n v="20588"/>
    <x v="4"/>
  </r>
  <r>
    <n v="1094"/>
    <d v="2025-06-10T00:00:00"/>
    <s v="Customer 30"/>
    <s v="East"/>
    <x v="3"/>
    <s v="Accessories"/>
    <x v="1"/>
    <n v="3"/>
    <n v="13412"/>
    <n v="40236"/>
    <n v="24272"/>
    <n v="15964"/>
    <x v="4"/>
  </r>
  <r>
    <n v="1095"/>
    <d v="2025-03-26T00:00:00"/>
    <s v="Customer 24"/>
    <s v="West"/>
    <x v="0"/>
    <s v="Electronics"/>
    <x v="0"/>
    <n v="3"/>
    <n v="13011"/>
    <n v="39033"/>
    <n v="24116"/>
    <n v="14917"/>
    <x v="0"/>
  </r>
  <r>
    <n v="1096"/>
    <d v="2025-06-22T00:00:00"/>
    <s v="Customer 35"/>
    <s v="East"/>
    <x v="5"/>
    <s v="Computers"/>
    <x v="1"/>
    <n v="3"/>
    <n v="8942"/>
    <n v="26826"/>
    <n v="23737"/>
    <n v="3089"/>
    <x v="4"/>
  </r>
  <r>
    <n v="1097"/>
    <d v="2025-01-16T00:00:00"/>
    <s v="Customer 3"/>
    <s v="East"/>
    <x v="6"/>
    <s v="Computers"/>
    <x v="1"/>
    <n v="3"/>
    <n v="2556"/>
    <n v="7668"/>
    <n v="5911"/>
    <n v="1757"/>
    <x v="1"/>
  </r>
  <r>
    <n v="1098"/>
    <d v="2025-05-18T00:00:00"/>
    <s v="Customer 12"/>
    <s v="South"/>
    <x v="1"/>
    <s v="Electronics"/>
    <x v="0"/>
    <n v="2"/>
    <n v="18028"/>
    <n v="36056"/>
    <n v="31732"/>
    <n v="4324"/>
    <x v="5"/>
  </r>
  <r>
    <n v="1099"/>
    <d v="2025-03-31T00:00:00"/>
    <s v="Customer 31"/>
    <s v="North"/>
    <x v="7"/>
    <s v="Accessories"/>
    <x v="0"/>
    <n v="1"/>
    <n v="12844"/>
    <n v="12844"/>
    <n v="10591"/>
    <n v="2253"/>
    <x v="0"/>
  </r>
  <r>
    <n v="1100"/>
    <d v="2025-04-16T00:00:00"/>
    <s v="Customer 25"/>
    <s v="South"/>
    <x v="4"/>
    <s v="Electronics"/>
    <x v="0"/>
    <n v="1"/>
    <n v="15100"/>
    <n v="15100"/>
    <n v="11454"/>
    <n v="364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E9CBB-69B3-47CB-8550-69DDD0B89FCF}" name="PivotTable2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1">
  <location ref="A12:B17" firstHeaderRow="1" firstDataRow="1" firstDataCol="1"/>
  <pivotFields count="12"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1" baseField="0" baseItem="0" numFmtId="164"/>
  </dataFields>
  <chartFormats count="10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8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8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8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9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9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9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9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4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7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7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7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5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5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5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6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6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6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6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15420-C2C5-4D1E-A13D-158347D340FE}" name="PivotTable7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7">
  <location ref="F15:G18" firstHeaderRow="1" firstDataRow="1" firstDataCol="1"/>
  <pivotFields count="13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chartFormats count="10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0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9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7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8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9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0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1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4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7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9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9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0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1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1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2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2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3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3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4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3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4" format="3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3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4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3" format="4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891C8-8F5F-48C6-90E4-D58761C703BC}" name="PivotTable6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F1:G7" firstHeaderRow="1" firstDataRow="1" firstDataCol="1"/>
  <pivotFields count="13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 measureFilter="1">
      <items count="9">
        <item x="3"/>
        <item x="0"/>
        <item x="6"/>
        <item x="5"/>
        <item x="2"/>
        <item x="7"/>
        <item x="1"/>
        <item x="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</pivotFields>
  <rowFields count="1">
    <field x="4"/>
  </rowFields>
  <rowItems count="6">
    <i>
      <x v="2"/>
    </i>
    <i>
      <x v="1"/>
    </i>
    <i>
      <x v="4"/>
    </i>
    <i>
      <x/>
    </i>
    <i>
      <x v="5"/>
    </i>
    <i t="grand">
      <x/>
    </i>
  </rowItems>
  <colItems count="1">
    <i/>
  </colItems>
  <dataFields count="1">
    <dataField name="Sum of Units Sold" fld="7" baseField="0" baseItem="0"/>
  </dataField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8CAB9-95AF-4081-933B-0690A58044B1}" name="PivotTable5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7">
  <location ref="A30:B37" firstHeaderRow="1" firstDataRow="1" firstDataCol="1"/>
  <pivotFields count="1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axis="axisRow" compact="0" outline="0" showAll="0">
      <items count="7">
        <item x="1"/>
        <item x="2"/>
        <item x="0"/>
        <item x="3"/>
        <item x="5"/>
        <item x="4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164"/>
  </dataFields>
  <chartFormats count="10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2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3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3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3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2" format="34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2" format="35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3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3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3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4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3" format="4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3" format="42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4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9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9" format="5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9" format="6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9" format="6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9" format="6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9" format="63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0" format="6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0" format="6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0" format="6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0" format="68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0" format="69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0" format="70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EEA6F-510C-47AD-86F0-F85B70C04387}" name="PivotTable1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1">
  <location ref="A3:B7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 numFmtId="164"/>
  </dataFields>
  <chartFormats count="5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2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2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3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3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8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8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9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9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80D7-DD75-457C-BF05-7654A3134FBB}">
  <dimension ref="A1:G37"/>
  <sheetViews>
    <sheetView zoomScale="82" workbookViewId="0">
      <selection activeCell="A30" sqref="A30"/>
    </sheetView>
  </sheetViews>
  <sheetFormatPr defaultRowHeight="15"/>
  <cols>
    <col min="1" max="1" width="16.140625" bestFit="1" customWidth="1"/>
    <col min="2" max="2" width="17.7109375" bestFit="1" customWidth="1"/>
    <col min="6" max="6" width="16.28515625" bestFit="1" customWidth="1"/>
    <col min="7" max="7" width="17" bestFit="1" customWidth="1"/>
  </cols>
  <sheetData>
    <row r="1" spans="1:7">
      <c r="F1" s="11" t="s">
        <v>0</v>
      </c>
      <c r="G1" t="s">
        <v>1</v>
      </c>
    </row>
    <row r="2" spans="1:7">
      <c r="F2" t="s">
        <v>2</v>
      </c>
      <c r="G2">
        <v>45</v>
      </c>
    </row>
    <row r="3" spans="1:7">
      <c r="A3" s="11" t="s">
        <v>3</v>
      </c>
      <c r="B3" t="s">
        <v>4</v>
      </c>
      <c r="F3" t="s">
        <v>5</v>
      </c>
      <c r="G3">
        <v>43</v>
      </c>
    </row>
    <row r="4" spans="1:7">
      <c r="A4" t="s">
        <v>6</v>
      </c>
      <c r="B4" s="9">
        <v>613132</v>
      </c>
      <c r="F4" t="s">
        <v>7</v>
      </c>
      <c r="G4">
        <v>40</v>
      </c>
    </row>
    <row r="5" spans="1:7">
      <c r="A5" t="s">
        <v>8</v>
      </c>
      <c r="B5" s="9">
        <v>1264843</v>
      </c>
      <c r="F5" t="s">
        <v>9</v>
      </c>
      <c r="G5">
        <v>38</v>
      </c>
    </row>
    <row r="6" spans="1:7">
      <c r="A6" t="s">
        <v>10</v>
      </c>
      <c r="B6" s="9">
        <v>844189</v>
      </c>
      <c r="F6" t="s">
        <v>11</v>
      </c>
      <c r="G6">
        <v>36</v>
      </c>
    </row>
    <row r="7" spans="1:7">
      <c r="A7" t="s">
        <v>12</v>
      </c>
      <c r="B7" s="9">
        <v>2722164</v>
      </c>
      <c r="F7" t="s">
        <v>12</v>
      </c>
      <c r="G7">
        <v>202</v>
      </c>
    </row>
    <row r="12" spans="1:7">
      <c r="A12" s="11" t="s">
        <v>13</v>
      </c>
      <c r="B12" t="s">
        <v>14</v>
      </c>
    </row>
    <row r="13" spans="1:7">
      <c r="A13" t="s">
        <v>15</v>
      </c>
      <c r="B13" s="9">
        <v>132245</v>
      </c>
    </row>
    <row r="14" spans="1:7">
      <c r="A14" t="s">
        <v>16</v>
      </c>
      <c r="B14" s="9">
        <v>201273</v>
      </c>
    </row>
    <row r="15" spans="1:7">
      <c r="A15" t="s">
        <v>17</v>
      </c>
      <c r="B15" s="9">
        <v>136912</v>
      </c>
      <c r="F15" s="11" t="s">
        <v>18</v>
      </c>
      <c r="G15" t="s">
        <v>19</v>
      </c>
    </row>
    <row r="16" spans="1:7">
      <c r="A16" t="s">
        <v>20</v>
      </c>
      <c r="B16" s="9">
        <v>217839</v>
      </c>
      <c r="F16" t="s">
        <v>21</v>
      </c>
      <c r="G16" s="16">
        <v>46</v>
      </c>
    </row>
    <row r="17" spans="1:7">
      <c r="A17" t="s">
        <v>12</v>
      </c>
      <c r="B17" s="9">
        <v>688269</v>
      </c>
      <c r="F17" t="s">
        <v>22</v>
      </c>
      <c r="G17" s="16">
        <v>54</v>
      </c>
    </row>
    <row r="18" spans="1:7">
      <c r="F18" t="s">
        <v>12</v>
      </c>
      <c r="G18" s="16">
        <v>100</v>
      </c>
    </row>
    <row r="30" spans="1:7">
      <c r="A30" s="11" t="s">
        <v>23</v>
      </c>
      <c r="B30" t="s">
        <v>4</v>
      </c>
    </row>
    <row r="31" spans="1:7">
      <c r="A31" t="s">
        <v>24</v>
      </c>
      <c r="B31" s="9">
        <v>226999</v>
      </c>
    </row>
    <row r="32" spans="1:7">
      <c r="A32" t="s">
        <v>25</v>
      </c>
      <c r="B32" s="9">
        <v>288751</v>
      </c>
    </row>
    <row r="33" spans="1:2">
      <c r="A33" t="s">
        <v>26</v>
      </c>
      <c r="B33" s="9">
        <v>610240</v>
      </c>
    </row>
    <row r="34" spans="1:2">
      <c r="A34" t="s">
        <v>27</v>
      </c>
      <c r="B34" s="9">
        <v>736630</v>
      </c>
    </row>
    <row r="35" spans="1:2">
      <c r="A35" t="s">
        <v>28</v>
      </c>
      <c r="B35" s="9">
        <v>336789</v>
      </c>
    </row>
    <row r="36" spans="1:2">
      <c r="A36" t="s">
        <v>29</v>
      </c>
      <c r="B36" s="9">
        <v>522755</v>
      </c>
    </row>
    <row r="37" spans="1:2">
      <c r="A37" t="s">
        <v>12</v>
      </c>
      <c r="B37" s="9">
        <v>2722164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opLeftCell="C1" workbookViewId="0">
      <selection activeCell="E8" sqref="E8"/>
    </sheetView>
  </sheetViews>
  <sheetFormatPr defaultRowHeight="15"/>
  <cols>
    <col min="2" max="2" width="17.85546875" bestFit="1" customWidth="1"/>
    <col min="3" max="3" width="15.28515625" bestFit="1" customWidth="1"/>
    <col min="4" max="4" width="16.140625" bestFit="1" customWidth="1"/>
    <col min="5" max="5" width="17" bestFit="1" customWidth="1"/>
    <col min="6" max="6" width="10.85546875" bestFit="1" customWidth="1"/>
    <col min="7" max="7" width="13.140625" bestFit="1" customWidth="1"/>
    <col min="8" max="8" width="9.85546875" bestFit="1" customWidth="1"/>
    <col min="9" max="9" width="9.5703125" bestFit="1" customWidth="1"/>
    <col min="10" max="12" width="11.140625" bestFit="1" customWidth="1"/>
    <col min="13" max="13" width="15.42578125" bestFit="1" customWidth="1"/>
  </cols>
  <sheetData>
    <row r="1" spans="1:13">
      <c r="A1" s="1" t="s">
        <v>30</v>
      </c>
      <c r="B1" s="2" t="s">
        <v>31</v>
      </c>
      <c r="C1" s="7" t="s">
        <v>32</v>
      </c>
      <c r="D1" s="7" t="s">
        <v>33</v>
      </c>
      <c r="E1" s="2" t="s">
        <v>0</v>
      </c>
      <c r="F1" s="2" t="s">
        <v>3</v>
      </c>
      <c r="G1" s="2" t="s">
        <v>18</v>
      </c>
      <c r="H1" s="2" t="s">
        <v>34</v>
      </c>
      <c r="I1" s="2" t="s">
        <v>35</v>
      </c>
      <c r="J1" s="5" t="s">
        <v>36</v>
      </c>
      <c r="K1" s="5" t="s">
        <v>37</v>
      </c>
      <c r="L1" s="5" t="s">
        <v>38</v>
      </c>
      <c r="M1" s="10" t="s">
        <v>23</v>
      </c>
    </row>
    <row r="2" spans="1:13">
      <c r="A2" s="3">
        <v>1001</v>
      </c>
      <c r="B2" s="4">
        <v>45735</v>
      </c>
      <c r="C2" s="8" t="s">
        <v>39</v>
      </c>
      <c r="D2" s="8" t="s">
        <v>16</v>
      </c>
      <c r="E2" s="3" t="s">
        <v>5</v>
      </c>
      <c r="F2" s="3" t="s">
        <v>10</v>
      </c>
      <c r="G2" s="3" t="s">
        <v>21</v>
      </c>
      <c r="H2" s="3">
        <v>4</v>
      </c>
      <c r="I2" s="3">
        <v>4650</v>
      </c>
      <c r="J2" s="6">
        <v>18600</v>
      </c>
      <c r="K2" s="6">
        <v>15331</v>
      </c>
      <c r="L2" s="6">
        <v>3269</v>
      </c>
      <c r="M2" t="str">
        <f>TEXT(B2,"mmmm")</f>
        <v>March</v>
      </c>
    </row>
    <row r="3" spans="1:13">
      <c r="A3" s="3">
        <v>1002</v>
      </c>
      <c r="B3" s="4">
        <v>45684</v>
      </c>
      <c r="C3" s="8" t="s">
        <v>40</v>
      </c>
      <c r="D3" s="8" t="s">
        <v>15</v>
      </c>
      <c r="E3" s="3" t="s">
        <v>5</v>
      </c>
      <c r="F3" s="3" t="s">
        <v>10</v>
      </c>
      <c r="G3" s="3" t="s">
        <v>21</v>
      </c>
      <c r="H3" s="3">
        <v>5</v>
      </c>
      <c r="I3" s="3">
        <v>6451</v>
      </c>
      <c r="J3" s="6">
        <v>32255</v>
      </c>
      <c r="K3" s="6">
        <v>25586</v>
      </c>
      <c r="L3" s="6">
        <v>6669</v>
      </c>
      <c r="M3" t="str">
        <f t="shared" ref="M3:M66" si="0">TEXT(B3,"mmmm")</f>
        <v>January</v>
      </c>
    </row>
    <row r="4" spans="1:13">
      <c r="A4" s="3">
        <v>1003</v>
      </c>
      <c r="B4" s="4">
        <v>45726</v>
      </c>
      <c r="C4" s="8" t="s">
        <v>41</v>
      </c>
      <c r="D4" s="8" t="s">
        <v>17</v>
      </c>
      <c r="E4" s="3" t="s">
        <v>42</v>
      </c>
      <c r="F4" s="3" t="s">
        <v>10</v>
      </c>
      <c r="G4" s="3" t="s">
        <v>21</v>
      </c>
      <c r="H4" s="3">
        <v>5</v>
      </c>
      <c r="I4" s="3">
        <v>12003</v>
      </c>
      <c r="J4" s="6">
        <v>60015</v>
      </c>
      <c r="K4" s="6">
        <v>38515</v>
      </c>
      <c r="L4" s="6">
        <v>21500</v>
      </c>
      <c r="M4" t="str">
        <f t="shared" si="0"/>
        <v>March</v>
      </c>
    </row>
    <row r="5" spans="1:13">
      <c r="A5" s="3">
        <v>1004</v>
      </c>
      <c r="B5" s="4">
        <v>45710</v>
      </c>
      <c r="C5" s="8" t="s">
        <v>43</v>
      </c>
      <c r="D5" s="8" t="s">
        <v>17</v>
      </c>
      <c r="E5" s="3" t="s">
        <v>7</v>
      </c>
      <c r="F5" s="3" t="s">
        <v>8</v>
      </c>
      <c r="G5" s="3" t="s">
        <v>21</v>
      </c>
      <c r="H5" s="3">
        <v>2</v>
      </c>
      <c r="I5" s="3">
        <v>13343</v>
      </c>
      <c r="J5" s="6">
        <v>26686</v>
      </c>
      <c r="K5" s="6">
        <v>23930</v>
      </c>
      <c r="L5" s="6">
        <v>2756</v>
      </c>
      <c r="M5" t="str">
        <f t="shared" si="0"/>
        <v>February</v>
      </c>
    </row>
    <row r="6" spans="1:13">
      <c r="A6" s="3">
        <v>1005</v>
      </c>
      <c r="B6" s="4">
        <v>45762</v>
      </c>
      <c r="C6" s="8" t="s">
        <v>44</v>
      </c>
      <c r="D6" s="8" t="s">
        <v>16</v>
      </c>
      <c r="E6" s="3" t="s">
        <v>7</v>
      </c>
      <c r="F6" s="3" t="s">
        <v>8</v>
      </c>
      <c r="G6" s="3" t="s">
        <v>21</v>
      </c>
      <c r="H6" s="3">
        <v>2</v>
      </c>
      <c r="I6" s="3">
        <v>16723</v>
      </c>
      <c r="J6" s="6">
        <v>33446</v>
      </c>
      <c r="K6" s="6">
        <v>21829</v>
      </c>
      <c r="L6" s="6">
        <v>11617</v>
      </c>
      <c r="M6" t="str">
        <f t="shared" si="0"/>
        <v>April</v>
      </c>
    </row>
    <row r="7" spans="1:13">
      <c r="A7" s="3">
        <v>1006</v>
      </c>
      <c r="B7" s="4">
        <v>45769</v>
      </c>
      <c r="C7" s="8" t="s">
        <v>45</v>
      </c>
      <c r="D7" s="8" t="s">
        <v>15</v>
      </c>
      <c r="E7" s="3" t="s">
        <v>9</v>
      </c>
      <c r="F7" s="3" t="s">
        <v>6</v>
      </c>
      <c r="G7" s="3" t="s">
        <v>21</v>
      </c>
      <c r="H7" s="3">
        <v>3</v>
      </c>
      <c r="I7" s="3">
        <v>2735</v>
      </c>
      <c r="J7" s="6">
        <v>8205</v>
      </c>
      <c r="K7" s="6">
        <v>5668</v>
      </c>
      <c r="L7" s="6">
        <v>2537</v>
      </c>
      <c r="M7" t="str">
        <f t="shared" si="0"/>
        <v>April</v>
      </c>
    </row>
    <row r="8" spans="1:13">
      <c r="A8" s="3">
        <v>1007</v>
      </c>
      <c r="B8" s="4">
        <v>45660</v>
      </c>
      <c r="C8" s="8" t="s">
        <v>46</v>
      </c>
      <c r="D8" s="8" t="s">
        <v>20</v>
      </c>
      <c r="E8" s="3" t="s">
        <v>47</v>
      </c>
      <c r="F8" s="3" t="s">
        <v>10</v>
      </c>
      <c r="G8" s="3" t="s">
        <v>22</v>
      </c>
      <c r="H8" s="3">
        <v>4</v>
      </c>
      <c r="I8" s="3">
        <v>4919</v>
      </c>
      <c r="J8" s="6">
        <v>19676</v>
      </c>
      <c r="K8" s="6">
        <v>13615</v>
      </c>
      <c r="L8" s="6">
        <v>6061</v>
      </c>
      <c r="M8" t="str">
        <f t="shared" si="0"/>
        <v>January</v>
      </c>
    </row>
    <row r="9" spans="1:13">
      <c r="A9" s="3">
        <v>1008</v>
      </c>
      <c r="B9" s="4">
        <v>45818</v>
      </c>
      <c r="C9" s="8" t="s">
        <v>48</v>
      </c>
      <c r="D9" s="8" t="s">
        <v>20</v>
      </c>
      <c r="E9" s="3" t="s">
        <v>5</v>
      </c>
      <c r="F9" s="3" t="s">
        <v>10</v>
      </c>
      <c r="G9" s="3" t="s">
        <v>22</v>
      </c>
      <c r="H9" s="3">
        <v>1</v>
      </c>
      <c r="I9" s="3">
        <v>4264</v>
      </c>
      <c r="J9" s="6">
        <v>4264</v>
      </c>
      <c r="K9" s="6">
        <v>3636</v>
      </c>
      <c r="L9" s="6">
        <v>628</v>
      </c>
      <c r="M9" t="str">
        <f t="shared" si="0"/>
        <v>June</v>
      </c>
    </row>
    <row r="10" spans="1:13">
      <c r="A10" s="3">
        <v>1009</v>
      </c>
      <c r="B10" s="4">
        <v>45758</v>
      </c>
      <c r="C10" s="8" t="s">
        <v>49</v>
      </c>
      <c r="D10" s="8" t="s">
        <v>16</v>
      </c>
      <c r="E10" s="3" t="s">
        <v>7</v>
      </c>
      <c r="F10" s="3" t="s">
        <v>8</v>
      </c>
      <c r="G10" s="3" t="s">
        <v>21</v>
      </c>
      <c r="H10" s="3">
        <v>4</v>
      </c>
      <c r="I10" s="3">
        <v>16447</v>
      </c>
      <c r="J10" s="6">
        <v>65788</v>
      </c>
      <c r="K10" s="6">
        <v>52329</v>
      </c>
      <c r="L10" s="6">
        <v>13459</v>
      </c>
      <c r="M10" t="str">
        <f t="shared" si="0"/>
        <v>April</v>
      </c>
    </row>
    <row r="11" spans="1:13">
      <c r="A11" s="3">
        <v>1010</v>
      </c>
      <c r="B11" s="4">
        <v>45833</v>
      </c>
      <c r="C11" s="8" t="s">
        <v>43</v>
      </c>
      <c r="D11" s="8" t="s">
        <v>16</v>
      </c>
      <c r="E11" s="3" t="s">
        <v>50</v>
      </c>
      <c r="F11" s="3" t="s">
        <v>8</v>
      </c>
      <c r="G11" s="3" t="s">
        <v>22</v>
      </c>
      <c r="H11" s="3">
        <v>3</v>
      </c>
      <c r="I11" s="3">
        <v>1796</v>
      </c>
      <c r="J11" s="6">
        <v>5388</v>
      </c>
      <c r="K11" s="6">
        <v>3515</v>
      </c>
      <c r="L11" s="6">
        <v>1873</v>
      </c>
      <c r="M11" t="str">
        <f t="shared" si="0"/>
        <v>June</v>
      </c>
    </row>
    <row r="12" spans="1:13">
      <c r="A12" s="3">
        <v>1011</v>
      </c>
      <c r="B12" s="4">
        <v>45824</v>
      </c>
      <c r="C12" s="8" t="s">
        <v>51</v>
      </c>
      <c r="D12" s="8" t="s">
        <v>20</v>
      </c>
      <c r="E12" s="3" t="s">
        <v>5</v>
      </c>
      <c r="F12" s="3" t="s">
        <v>10</v>
      </c>
      <c r="G12" s="3" t="s">
        <v>21</v>
      </c>
      <c r="H12" s="3">
        <v>4</v>
      </c>
      <c r="I12" s="3">
        <v>8374</v>
      </c>
      <c r="J12" s="6">
        <v>33496</v>
      </c>
      <c r="K12" s="6">
        <v>26016</v>
      </c>
      <c r="L12" s="6">
        <v>7480</v>
      </c>
      <c r="M12" t="str">
        <f t="shared" si="0"/>
        <v>June</v>
      </c>
    </row>
    <row r="13" spans="1:13">
      <c r="A13" s="3">
        <v>1012</v>
      </c>
      <c r="B13" s="4">
        <v>45783</v>
      </c>
      <c r="C13" s="8" t="s">
        <v>44</v>
      </c>
      <c r="D13" s="8" t="s">
        <v>17</v>
      </c>
      <c r="E13" s="3" t="s">
        <v>2</v>
      </c>
      <c r="F13" s="3" t="s">
        <v>8</v>
      </c>
      <c r="G13" s="3" t="s">
        <v>22</v>
      </c>
      <c r="H13" s="3">
        <v>1</v>
      </c>
      <c r="I13" s="3">
        <v>10939</v>
      </c>
      <c r="J13" s="6">
        <v>10939</v>
      </c>
      <c r="K13" s="6">
        <v>8218</v>
      </c>
      <c r="L13" s="6">
        <v>2721</v>
      </c>
      <c r="M13" t="str">
        <f t="shared" si="0"/>
        <v>May</v>
      </c>
    </row>
    <row r="14" spans="1:13">
      <c r="A14" s="3">
        <v>1013</v>
      </c>
      <c r="B14" s="4">
        <v>45793</v>
      </c>
      <c r="C14" s="8" t="s">
        <v>52</v>
      </c>
      <c r="D14" s="8" t="s">
        <v>16</v>
      </c>
      <c r="E14" s="3" t="s">
        <v>50</v>
      </c>
      <c r="F14" s="3" t="s">
        <v>8</v>
      </c>
      <c r="G14" s="3" t="s">
        <v>22</v>
      </c>
      <c r="H14" s="3">
        <v>1</v>
      </c>
      <c r="I14" s="3">
        <v>6185</v>
      </c>
      <c r="J14" s="6">
        <v>6185</v>
      </c>
      <c r="K14" s="6">
        <v>4690</v>
      </c>
      <c r="L14" s="6">
        <v>1495</v>
      </c>
      <c r="M14" t="str">
        <f t="shared" si="0"/>
        <v>May</v>
      </c>
    </row>
    <row r="15" spans="1:13">
      <c r="A15" s="3">
        <v>1014</v>
      </c>
      <c r="B15" s="4">
        <v>45716</v>
      </c>
      <c r="C15" s="8" t="s">
        <v>53</v>
      </c>
      <c r="D15" s="8" t="s">
        <v>15</v>
      </c>
      <c r="E15" s="3" t="s">
        <v>5</v>
      </c>
      <c r="F15" s="3" t="s">
        <v>10</v>
      </c>
      <c r="G15" s="3" t="s">
        <v>21</v>
      </c>
      <c r="H15" s="3">
        <v>2</v>
      </c>
      <c r="I15" s="3">
        <v>11066</v>
      </c>
      <c r="J15" s="6">
        <v>22132</v>
      </c>
      <c r="K15" s="6">
        <v>16925</v>
      </c>
      <c r="L15" s="6">
        <v>5207</v>
      </c>
      <c r="M15" t="str">
        <f t="shared" si="0"/>
        <v>February</v>
      </c>
    </row>
    <row r="16" spans="1:13">
      <c r="A16" s="3">
        <v>1015</v>
      </c>
      <c r="B16" s="4">
        <v>45742</v>
      </c>
      <c r="C16" s="8" t="s">
        <v>54</v>
      </c>
      <c r="D16" s="8" t="s">
        <v>15</v>
      </c>
      <c r="E16" s="3" t="s">
        <v>11</v>
      </c>
      <c r="F16" s="3" t="s">
        <v>6</v>
      </c>
      <c r="G16" s="3" t="s">
        <v>22</v>
      </c>
      <c r="H16" s="3">
        <v>2</v>
      </c>
      <c r="I16" s="3">
        <v>2609</v>
      </c>
      <c r="J16" s="6">
        <v>5218</v>
      </c>
      <c r="K16" s="6">
        <v>3551</v>
      </c>
      <c r="L16" s="6">
        <v>1667</v>
      </c>
      <c r="M16" t="str">
        <f t="shared" si="0"/>
        <v>March</v>
      </c>
    </row>
    <row r="17" spans="1:13">
      <c r="A17" s="3">
        <v>1016</v>
      </c>
      <c r="B17" s="4">
        <v>45820</v>
      </c>
      <c r="C17" s="8" t="s">
        <v>55</v>
      </c>
      <c r="D17" s="8" t="s">
        <v>15</v>
      </c>
      <c r="E17" s="3" t="s">
        <v>50</v>
      </c>
      <c r="F17" s="3" t="s">
        <v>8</v>
      </c>
      <c r="G17" s="3" t="s">
        <v>22</v>
      </c>
      <c r="H17" s="3">
        <v>2</v>
      </c>
      <c r="I17" s="3">
        <v>2983</v>
      </c>
      <c r="J17" s="6">
        <v>5966</v>
      </c>
      <c r="K17" s="6">
        <v>4590</v>
      </c>
      <c r="L17" s="6">
        <v>1376</v>
      </c>
      <c r="M17" t="str">
        <f t="shared" si="0"/>
        <v>June</v>
      </c>
    </row>
    <row r="18" spans="1:13">
      <c r="A18" s="3">
        <v>1017</v>
      </c>
      <c r="B18" s="4">
        <v>45755</v>
      </c>
      <c r="C18" s="8" t="s">
        <v>56</v>
      </c>
      <c r="D18" s="8" t="s">
        <v>20</v>
      </c>
      <c r="E18" s="3" t="s">
        <v>50</v>
      </c>
      <c r="F18" s="3" t="s">
        <v>8</v>
      </c>
      <c r="G18" s="3" t="s">
        <v>22</v>
      </c>
      <c r="H18" s="3">
        <v>5</v>
      </c>
      <c r="I18" s="3">
        <v>5919</v>
      </c>
      <c r="J18" s="6">
        <v>29595</v>
      </c>
      <c r="K18" s="6">
        <v>17935</v>
      </c>
      <c r="L18" s="6">
        <v>11660</v>
      </c>
      <c r="M18" t="str">
        <f t="shared" si="0"/>
        <v>April</v>
      </c>
    </row>
    <row r="19" spans="1:13">
      <c r="A19" s="3">
        <v>1018</v>
      </c>
      <c r="B19" s="4">
        <v>45836</v>
      </c>
      <c r="C19" s="8" t="s">
        <v>57</v>
      </c>
      <c r="D19" s="8" t="s">
        <v>20</v>
      </c>
      <c r="E19" s="3" t="s">
        <v>7</v>
      </c>
      <c r="F19" s="3" t="s">
        <v>8</v>
      </c>
      <c r="G19" s="3" t="s">
        <v>22</v>
      </c>
      <c r="H19" s="3">
        <v>1</v>
      </c>
      <c r="I19" s="3">
        <v>11111</v>
      </c>
      <c r="J19" s="6">
        <v>11111</v>
      </c>
      <c r="K19" s="6">
        <v>7810</v>
      </c>
      <c r="L19" s="6">
        <v>3301</v>
      </c>
      <c r="M19" t="str">
        <f t="shared" si="0"/>
        <v>June</v>
      </c>
    </row>
    <row r="20" spans="1:13">
      <c r="A20" s="3">
        <v>1019</v>
      </c>
      <c r="B20" s="4">
        <v>45769</v>
      </c>
      <c r="C20" s="8" t="s">
        <v>58</v>
      </c>
      <c r="D20" s="8" t="s">
        <v>16</v>
      </c>
      <c r="E20" s="3" t="s">
        <v>50</v>
      </c>
      <c r="F20" s="3" t="s">
        <v>8</v>
      </c>
      <c r="G20" s="3" t="s">
        <v>21</v>
      </c>
      <c r="H20" s="3">
        <v>5</v>
      </c>
      <c r="I20" s="3">
        <v>13127</v>
      </c>
      <c r="J20" s="6">
        <v>65635</v>
      </c>
      <c r="K20" s="6">
        <v>50343</v>
      </c>
      <c r="L20" s="6">
        <v>15292</v>
      </c>
      <c r="M20" t="str">
        <f t="shared" si="0"/>
        <v>April</v>
      </c>
    </row>
    <row r="21" spans="1:13">
      <c r="A21" s="3">
        <v>1020</v>
      </c>
      <c r="B21" s="4">
        <v>45831</v>
      </c>
      <c r="C21" s="8" t="s">
        <v>59</v>
      </c>
      <c r="D21" s="8" t="s">
        <v>20</v>
      </c>
      <c r="E21" s="3" t="s">
        <v>2</v>
      </c>
      <c r="F21" s="3" t="s">
        <v>8</v>
      </c>
      <c r="G21" s="3" t="s">
        <v>22</v>
      </c>
      <c r="H21" s="3">
        <v>3</v>
      </c>
      <c r="I21" s="3">
        <v>12413</v>
      </c>
      <c r="J21" s="6">
        <v>37239</v>
      </c>
      <c r="K21" s="6">
        <v>31069</v>
      </c>
      <c r="L21" s="6">
        <v>6170</v>
      </c>
      <c r="M21" t="str">
        <f t="shared" si="0"/>
        <v>June</v>
      </c>
    </row>
    <row r="22" spans="1:13">
      <c r="A22" s="3">
        <v>1021</v>
      </c>
      <c r="B22" s="4">
        <v>45696</v>
      </c>
      <c r="C22" s="8" t="s">
        <v>60</v>
      </c>
      <c r="D22" s="8" t="s">
        <v>17</v>
      </c>
      <c r="E22" s="3" t="s">
        <v>7</v>
      </c>
      <c r="F22" s="3" t="s">
        <v>8</v>
      </c>
      <c r="G22" s="3" t="s">
        <v>21</v>
      </c>
      <c r="H22" s="3">
        <v>1</v>
      </c>
      <c r="I22" s="3">
        <v>13618</v>
      </c>
      <c r="J22" s="6">
        <v>13618</v>
      </c>
      <c r="K22" s="6">
        <v>12049</v>
      </c>
      <c r="L22" s="6">
        <v>1569</v>
      </c>
      <c r="M22" t="str">
        <f t="shared" si="0"/>
        <v>February</v>
      </c>
    </row>
    <row r="23" spans="1:13">
      <c r="A23" s="3">
        <v>1022</v>
      </c>
      <c r="B23" s="4">
        <v>45817</v>
      </c>
      <c r="C23" s="8" t="s">
        <v>61</v>
      </c>
      <c r="D23" s="8" t="s">
        <v>20</v>
      </c>
      <c r="E23" s="3" t="s">
        <v>11</v>
      </c>
      <c r="F23" s="3" t="s">
        <v>6</v>
      </c>
      <c r="G23" s="3" t="s">
        <v>21</v>
      </c>
      <c r="H23" s="3">
        <v>3</v>
      </c>
      <c r="I23" s="3">
        <v>4656</v>
      </c>
      <c r="J23" s="6">
        <v>13968</v>
      </c>
      <c r="K23" s="6">
        <v>12053</v>
      </c>
      <c r="L23" s="6">
        <v>1915</v>
      </c>
      <c r="M23" t="str">
        <f t="shared" si="0"/>
        <v>June</v>
      </c>
    </row>
    <row r="24" spans="1:13">
      <c r="A24" s="3">
        <v>1023</v>
      </c>
      <c r="B24" s="4">
        <v>45828</v>
      </c>
      <c r="C24" s="8" t="s">
        <v>62</v>
      </c>
      <c r="D24" s="8" t="s">
        <v>20</v>
      </c>
      <c r="E24" s="3" t="s">
        <v>42</v>
      </c>
      <c r="F24" s="3" t="s">
        <v>10</v>
      </c>
      <c r="G24" s="3" t="s">
        <v>22</v>
      </c>
      <c r="H24" s="3">
        <v>1</v>
      </c>
      <c r="I24" s="3">
        <v>19111</v>
      </c>
      <c r="J24" s="6">
        <v>19111</v>
      </c>
      <c r="K24" s="6">
        <v>12954</v>
      </c>
      <c r="L24" s="6">
        <v>6157</v>
      </c>
      <c r="M24" t="str">
        <f t="shared" si="0"/>
        <v>June</v>
      </c>
    </row>
    <row r="25" spans="1:13">
      <c r="A25" s="3">
        <v>1024</v>
      </c>
      <c r="B25" s="4">
        <v>45833</v>
      </c>
      <c r="C25" s="8" t="s">
        <v>63</v>
      </c>
      <c r="D25" s="8" t="s">
        <v>20</v>
      </c>
      <c r="E25" s="3" t="s">
        <v>2</v>
      </c>
      <c r="F25" s="3" t="s">
        <v>8</v>
      </c>
      <c r="G25" s="3" t="s">
        <v>22</v>
      </c>
      <c r="H25" s="3">
        <v>2</v>
      </c>
      <c r="I25" s="3">
        <v>16965</v>
      </c>
      <c r="J25" s="6">
        <v>33930</v>
      </c>
      <c r="K25" s="6">
        <v>30424</v>
      </c>
      <c r="L25" s="6">
        <v>3506</v>
      </c>
      <c r="M25" t="str">
        <f t="shared" si="0"/>
        <v>June</v>
      </c>
    </row>
    <row r="26" spans="1:13">
      <c r="A26" s="3">
        <v>1025</v>
      </c>
      <c r="B26" s="4">
        <v>45717</v>
      </c>
      <c r="C26" s="8" t="s">
        <v>43</v>
      </c>
      <c r="D26" s="8" t="s">
        <v>16</v>
      </c>
      <c r="E26" s="3" t="s">
        <v>7</v>
      </c>
      <c r="F26" s="3" t="s">
        <v>8</v>
      </c>
      <c r="G26" s="3" t="s">
        <v>22</v>
      </c>
      <c r="H26" s="3">
        <v>1</v>
      </c>
      <c r="I26" s="3">
        <v>18267</v>
      </c>
      <c r="J26" s="6">
        <v>18267</v>
      </c>
      <c r="K26" s="6">
        <v>13349</v>
      </c>
      <c r="L26" s="6">
        <v>4918</v>
      </c>
      <c r="M26" t="str">
        <f t="shared" si="0"/>
        <v>March</v>
      </c>
    </row>
    <row r="27" spans="1:13">
      <c r="A27" s="3">
        <v>1026</v>
      </c>
      <c r="B27" s="4">
        <v>45753</v>
      </c>
      <c r="C27" s="8" t="s">
        <v>62</v>
      </c>
      <c r="D27" s="8" t="s">
        <v>16</v>
      </c>
      <c r="E27" s="3" t="s">
        <v>7</v>
      </c>
      <c r="F27" s="3" t="s">
        <v>8</v>
      </c>
      <c r="G27" s="3" t="s">
        <v>21</v>
      </c>
      <c r="H27" s="3">
        <v>2</v>
      </c>
      <c r="I27" s="3">
        <v>18759</v>
      </c>
      <c r="J27" s="6">
        <v>37518</v>
      </c>
      <c r="K27" s="6">
        <v>26891</v>
      </c>
      <c r="L27" s="6">
        <v>10627</v>
      </c>
      <c r="M27" t="str">
        <f t="shared" si="0"/>
        <v>April</v>
      </c>
    </row>
    <row r="28" spans="1:13">
      <c r="A28" s="3">
        <v>1027</v>
      </c>
      <c r="B28" s="4">
        <v>45697</v>
      </c>
      <c r="C28" s="8" t="s">
        <v>45</v>
      </c>
      <c r="D28" s="8" t="s">
        <v>16</v>
      </c>
      <c r="E28" s="3" t="s">
        <v>5</v>
      </c>
      <c r="F28" s="3" t="s">
        <v>10</v>
      </c>
      <c r="G28" s="3" t="s">
        <v>22</v>
      </c>
      <c r="H28" s="3">
        <v>3</v>
      </c>
      <c r="I28" s="3">
        <v>14385</v>
      </c>
      <c r="J28" s="6">
        <v>43155</v>
      </c>
      <c r="K28" s="6">
        <v>38070</v>
      </c>
      <c r="L28" s="6">
        <v>5085</v>
      </c>
      <c r="M28" t="str">
        <f t="shared" si="0"/>
        <v>February</v>
      </c>
    </row>
    <row r="29" spans="1:13">
      <c r="A29" s="3">
        <v>1028</v>
      </c>
      <c r="B29" s="4">
        <v>45677</v>
      </c>
      <c r="C29" s="8" t="s">
        <v>48</v>
      </c>
      <c r="D29" s="8" t="s">
        <v>15</v>
      </c>
      <c r="E29" s="3" t="s">
        <v>2</v>
      </c>
      <c r="F29" s="3" t="s">
        <v>8</v>
      </c>
      <c r="G29" s="3" t="s">
        <v>22</v>
      </c>
      <c r="H29" s="3">
        <v>5</v>
      </c>
      <c r="I29" s="3">
        <v>12596</v>
      </c>
      <c r="J29" s="6">
        <v>62980</v>
      </c>
      <c r="K29" s="6">
        <v>40175</v>
      </c>
      <c r="L29" s="6">
        <v>22805</v>
      </c>
      <c r="M29" t="str">
        <f t="shared" si="0"/>
        <v>January</v>
      </c>
    </row>
    <row r="30" spans="1:13">
      <c r="A30" s="3">
        <v>1029</v>
      </c>
      <c r="B30" s="4">
        <v>45777</v>
      </c>
      <c r="C30" s="8" t="s">
        <v>64</v>
      </c>
      <c r="D30" s="8" t="s">
        <v>17</v>
      </c>
      <c r="E30" s="3" t="s">
        <v>2</v>
      </c>
      <c r="F30" s="3" t="s">
        <v>8</v>
      </c>
      <c r="G30" s="3" t="s">
        <v>21</v>
      </c>
      <c r="H30" s="3">
        <v>5</v>
      </c>
      <c r="I30" s="3">
        <v>16414</v>
      </c>
      <c r="J30" s="6">
        <v>82070</v>
      </c>
      <c r="K30" s="6">
        <v>58352</v>
      </c>
      <c r="L30" s="6">
        <v>23718</v>
      </c>
      <c r="M30" t="str">
        <f t="shared" si="0"/>
        <v>April</v>
      </c>
    </row>
    <row r="31" spans="1:13">
      <c r="A31" s="3">
        <v>1030</v>
      </c>
      <c r="B31" s="4">
        <v>45720</v>
      </c>
      <c r="C31" s="8" t="s">
        <v>65</v>
      </c>
      <c r="D31" s="8" t="s">
        <v>20</v>
      </c>
      <c r="E31" s="3" t="s">
        <v>47</v>
      </c>
      <c r="F31" s="3" t="s">
        <v>10</v>
      </c>
      <c r="G31" s="3" t="s">
        <v>21</v>
      </c>
      <c r="H31" s="3">
        <v>2</v>
      </c>
      <c r="I31" s="3">
        <v>16498</v>
      </c>
      <c r="J31" s="6">
        <v>32996</v>
      </c>
      <c r="K31" s="6">
        <v>23495</v>
      </c>
      <c r="L31" s="6">
        <v>9501</v>
      </c>
      <c r="M31" t="str">
        <f t="shared" si="0"/>
        <v>March</v>
      </c>
    </row>
    <row r="32" spans="1:13">
      <c r="A32" s="3">
        <v>1031</v>
      </c>
      <c r="B32" s="4">
        <v>45693</v>
      </c>
      <c r="C32" s="8" t="s">
        <v>48</v>
      </c>
      <c r="D32" s="8" t="s">
        <v>16</v>
      </c>
      <c r="E32" s="3" t="s">
        <v>5</v>
      </c>
      <c r="F32" s="3" t="s">
        <v>10</v>
      </c>
      <c r="G32" s="3" t="s">
        <v>21</v>
      </c>
      <c r="H32" s="3">
        <v>1</v>
      </c>
      <c r="I32" s="3">
        <v>18515</v>
      </c>
      <c r="J32" s="6">
        <v>18515</v>
      </c>
      <c r="K32" s="6">
        <v>15475</v>
      </c>
      <c r="L32" s="6">
        <v>3040</v>
      </c>
      <c r="M32" t="str">
        <f t="shared" si="0"/>
        <v>February</v>
      </c>
    </row>
    <row r="33" spans="1:13">
      <c r="A33" s="3">
        <v>1032</v>
      </c>
      <c r="B33" s="4">
        <v>45771</v>
      </c>
      <c r="C33" s="8" t="s">
        <v>66</v>
      </c>
      <c r="D33" s="8" t="s">
        <v>16</v>
      </c>
      <c r="E33" s="3" t="s">
        <v>11</v>
      </c>
      <c r="F33" s="3" t="s">
        <v>6</v>
      </c>
      <c r="G33" s="3" t="s">
        <v>21</v>
      </c>
      <c r="H33" s="3">
        <v>1</v>
      </c>
      <c r="I33" s="3">
        <v>5907</v>
      </c>
      <c r="J33" s="6">
        <v>5907</v>
      </c>
      <c r="K33" s="6">
        <v>3719</v>
      </c>
      <c r="L33" s="6">
        <v>2188</v>
      </c>
      <c r="M33" t="str">
        <f t="shared" si="0"/>
        <v>April</v>
      </c>
    </row>
    <row r="34" spans="1:13">
      <c r="A34" s="3">
        <v>1033</v>
      </c>
      <c r="B34" s="4">
        <v>45699</v>
      </c>
      <c r="C34" s="8" t="s">
        <v>67</v>
      </c>
      <c r="D34" s="8" t="s">
        <v>16</v>
      </c>
      <c r="E34" s="3" t="s">
        <v>42</v>
      </c>
      <c r="F34" s="3" t="s">
        <v>10</v>
      </c>
      <c r="G34" s="3" t="s">
        <v>21</v>
      </c>
      <c r="H34" s="3">
        <v>3</v>
      </c>
      <c r="I34" s="3">
        <v>10720</v>
      </c>
      <c r="J34" s="6">
        <v>32160</v>
      </c>
      <c r="K34" s="6">
        <v>24569</v>
      </c>
      <c r="L34" s="6">
        <v>7591</v>
      </c>
      <c r="M34" t="str">
        <f t="shared" si="0"/>
        <v>February</v>
      </c>
    </row>
    <row r="35" spans="1:13">
      <c r="A35" s="3">
        <v>1034</v>
      </c>
      <c r="B35" s="4">
        <v>45744</v>
      </c>
      <c r="C35" s="8" t="s">
        <v>68</v>
      </c>
      <c r="D35" s="8" t="s">
        <v>17</v>
      </c>
      <c r="E35" s="3" t="s">
        <v>2</v>
      </c>
      <c r="F35" s="3" t="s">
        <v>8</v>
      </c>
      <c r="G35" s="3" t="s">
        <v>21</v>
      </c>
      <c r="H35" s="3">
        <v>4</v>
      </c>
      <c r="I35" s="3">
        <v>17096</v>
      </c>
      <c r="J35" s="6">
        <v>68384</v>
      </c>
      <c r="K35" s="6">
        <v>46662</v>
      </c>
      <c r="L35" s="6">
        <v>21722</v>
      </c>
      <c r="M35" t="str">
        <f t="shared" si="0"/>
        <v>March</v>
      </c>
    </row>
    <row r="36" spans="1:13">
      <c r="A36" s="3">
        <v>1035</v>
      </c>
      <c r="B36" s="4">
        <v>45812</v>
      </c>
      <c r="C36" s="8" t="s">
        <v>58</v>
      </c>
      <c r="D36" s="8" t="s">
        <v>15</v>
      </c>
      <c r="E36" s="3" t="s">
        <v>2</v>
      </c>
      <c r="F36" s="3" t="s">
        <v>8</v>
      </c>
      <c r="G36" s="3" t="s">
        <v>22</v>
      </c>
      <c r="H36" s="3">
        <v>3</v>
      </c>
      <c r="I36" s="3">
        <v>17295</v>
      </c>
      <c r="J36" s="6">
        <v>51885</v>
      </c>
      <c r="K36" s="6">
        <v>44875</v>
      </c>
      <c r="L36" s="6">
        <v>7010</v>
      </c>
      <c r="M36" t="str">
        <f t="shared" si="0"/>
        <v>June</v>
      </c>
    </row>
    <row r="37" spans="1:13">
      <c r="A37" s="3">
        <v>1036</v>
      </c>
      <c r="B37" s="4">
        <v>45729</v>
      </c>
      <c r="C37" s="8" t="s">
        <v>56</v>
      </c>
      <c r="D37" s="8" t="s">
        <v>15</v>
      </c>
      <c r="E37" s="3" t="s">
        <v>7</v>
      </c>
      <c r="F37" s="3" t="s">
        <v>8</v>
      </c>
      <c r="G37" s="3" t="s">
        <v>21</v>
      </c>
      <c r="H37" s="3">
        <v>2</v>
      </c>
      <c r="I37" s="3">
        <v>2816</v>
      </c>
      <c r="J37" s="6">
        <v>5632</v>
      </c>
      <c r="K37" s="6">
        <v>3484</v>
      </c>
      <c r="L37" s="6">
        <v>2148</v>
      </c>
      <c r="M37" t="str">
        <f t="shared" si="0"/>
        <v>March</v>
      </c>
    </row>
    <row r="38" spans="1:13">
      <c r="A38" s="3">
        <v>1037</v>
      </c>
      <c r="B38" s="4">
        <v>45733</v>
      </c>
      <c r="C38" s="8" t="s">
        <v>62</v>
      </c>
      <c r="D38" s="8" t="s">
        <v>15</v>
      </c>
      <c r="E38" s="3" t="s">
        <v>42</v>
      </c>
      <c r="F38" s="3" t="s">
        <v>10</v>
      </c>
      <c r="G38" s="3" t="s">
        <v>22</v>
      </c>
      <c r="H38" s="3">
        <v>1</v>
      </c>
      <c r="I38" s="3">
        <v>2315</v>
      </c>
      <c r="J38" s="6">
        <v>2315</v>
      </c>
      <c r="K38" s="6">
        <v>1840</v>
      </c>
      <c r="L38" s="6">
        <v>475</v>
      </c>
      <c r="M38" t="str">
        <f t="shared" si="0"/>
        <v>March</v>
      </c>
    </row>
    <row r="39" spans="1:13">
      <c r="A39" s="3">
        <v>1038</v>
      </c>
      <c r="B39" s="4">
        <v>45832</v>
      </c>
      <c r="C39" s="8" t="s">
        <v>69</v>
      </c>
      <c r="D39" s="8" t="s">
        <v>20</v>
      </c>
      <c r="E39" s="3" t="s">
        <v>2</v>
      </c>
      <c r="F39" s="3" t="s">
        <v>8</v>
      </c>
      <c r="G39" s="3" t="s">
        <v>21</v>
      </c>
      <c r="H39" s="3">
        <v>3</v>
      </c>
      <c r="I39" s="3">
        <v>11837</v>
      </c>
      <c r="J39" s="6">
        <v>35511</v>
      </c>
      <c r="K39" s="6">
        <v>25607</v>
      </c>
      <c r="L39" s="6">
        <v>9904</v>
      </c>
      <c r="M39" t="str">
        <f t="shared" si="0"/>
        <v>June</v>
      </c>
    </row>
    <row r="40" spans="1:13">
      <c r="A40" s="3">
        <v>1039</v>
      </c>
      <c r="B40" s="4">
        <v>45766</v>
      </c>
      <c r="C40" s="8" t="s">
        <v>70</v>
      </c>
      <c r="D40" s="8" t="s">
        <v>16</v>
      </c>
      <c r="E40" s="3" t="s">
        <v>2</v>
      </c>
      <c r="F40" s="3" t="s">
        <v>8</v>
      </c>
      <c r="G40" s="3" t="s">
        <v>22</v>
      </c>
      <c r="H40" s="3">
        <v>5</v>
      </c>
      <c r="I40" s="3">
        <v>14947</v>
      </c>
      <c r="J40" s="6">
        <v>74735</v>
      </c>
      <c r="K40" s="6">
        <v>62755</v>
      </c>
      <c r="L40" s="6">
        <v>11980</v>
      </c>
      <c r="M40" t="str">
        <f t="shared" si="0"/>
        <v>April</v>
      </c>
    </row>
    <row r="41" spans="1:13">
      <c r="A41" s="3">
        <v>1040</v>
      </c>
      <c r="B41" s="4">
        <v>45819</v>
      </c>
      <c r="C41" s="8" t="s">
        <v>71</v>
      </c>
      <c r="D41" s="8" t="s">
        <v>15</v>
      </c>
      <c r="E41" s="3" t="s">
        <v>50</v>
      </c>
      <c r="F41" s="3" t="s">
        <v>8</v>
      </c>
      <c r="G41" s="3" t="s">
        <v>22</v>
      </c>
      <c r="H41" s="3">
        <v>4</v>
      </c>
      <c r="I41" s="3">
        <v>2823</v>
      </c>
      <c r="J41" s="6">
        <v>11292</v>
      </c>
      <c r="K41" s="6">
        <v>6943</v>
      </c>
      <c r="L41" s="6">
        <v>4349</v>
      </c>
      <c r="M41" t="str">
        <f t="shared" si="0"/>
        <v>June</v>
      </c>
    </row>
    <row r="42" spans="1:13">
      <c r="A42" s="3">
        <v>1041</v>
      </c>
      <c r="B42" s="4">
        <v>45735</v>
      </c>
      <c r="C42" s="8" t="s">
        <v>67</v>
      </c>
      <c r="D42" s="8" t="s">
        <v>16</v>
      </c>
      <c r="E42" s="3" t="s">
        <v>5</v>
      </c>
      <c r="F42" s="3" t="s">
        <v>10</v>
      </c>
      <c r="G42" s="3" t="s">
        <v>21</v>
      </c>
      <c r="H42" s="3">
        <v>3</v>
      </c>
      <c r="I42" s="3">
        <v>4183</v>
      </c>
      <c r="J42" s="6">
        <v>12549</v>
      </c>
      <c r="K42" s="6">
        <v>8946</v>
      </c>
      <c r="L42" s="6">
        <v>3603</v>
      </c>
      <c r="M42" t="str">
        <f t="shared" si="0"/>
        <v>March</v>
      </c>
    </row>
    <row r="43" spans="1:13">
      <c r="A43" s="3">
        <v>1042</v>
      </c>
      <c r="B43" s="4">
        <v>45812</v>
      </c>
      <c r="C43" s="8" t="s">
        <v>72</v>
      </c>
      <c r="D43" s="8" t="s">
        <v>17</v>
      </c>
      <c r="E43" s="3" t="s">
        <v>11</v>
      </c>
      <c r="F43" s="3" t="s">
        <v>6</v>
      </c>
      <c r="G43" s="3" t="s">
        <v>21</v>
      </c>
      <c r="H43" s="3">
        <v>4</v>
      </c>
      <c r="I43" s="3">
        <v>11743</v>
      </c>
      <c r="J43" s="6">
        <v>46972</v>
      </c>
      <c r="K43" s="6">
        <v>31164</v>
      </c>
      <c r="L43" s="6">
        <v>15808</v>
      </c>
      <c r="M43" t="str">
        <f t="shared" si="0"/>
        <v>June</v>
      </c>
    </row>
    <row r="44" spans="1:13">
      <c r="A44" s="3">
        <v>1043</v>
      </c>
      <c r="B44" s="4">
        <v>45717</v>
      </c>
      <c r="C44" s="8" t="s">
        <v>57</v>
      </c>
      <c r="D44" s="8" t="s">
        <v>20</v>
      </c>
      <c r="E44" s="3" t="s">
        <v>9</v>
      </c>
      <c r="F44" s="3" t="s">
        <v>6</v>
      </c>
      <c r="G44" s="3" t="s">
        <v>21</v>
      </c>
      <c r="H44" s="3">
        <v>5</v>
      </c>
      <c r="I44" s="3">
        <v>9047</v>
      </c>
      <c r="J44" s="6">
        <v>45235</v>
      </c>
      <c r="K44" s="6">
        <v>29557</v>
      </c>
      <c r="L44" s="6">
        <v>15678</v>
      </c>
      <c r="M44" t="str">
        <f t="shared" si="0"/>
        <v>March</v>
      </c>
    </row>
    <row r="45" spans="1:13">
      <c r="A45" s="3">
        <v>1044</v>
      </c>
      <c r="B45" s="4">
        <v>45669</v>
      </c>
      <c r="C45" s="8" t="s">
        <v>40</v>
      </c>
      <c r="D45" s="8" t="s">
        <v>17</v>
      </c>
      <c r="E45" s="3" t="s">
        <v>11</v>
      </c>
      <c r="F45" s="3" t="s">
        <v>6</v>
      </c>
      <c r="G45" s="3" t="s">
        <v>22</v>
      </c>
      <c r="H45" s="3">
        <v>5</v>
      </c>
      <c r="I45" s="3">
        <v>1008</v>
      </c>
      <c r="J45" s="6">
        <v>5040</v>
      </c>
      <c r="K45" s="6">
        <v>3875</v>
      </c>
      <c r="L45" s="6">
        <v>1165</v>
      </c>
      <c r="M45" t="str">
        <f t="shared" si="0"/>
        <v>January</v>
      </c>
    </row>
    <row r="46" spans="1:13">
      <c r="A46" s="3">
        <v>1045</v>
      </c>
      <c r="B46" s="4">
        <v>45796</v>
      </c>
      <c r="C46" s="8" t="s">
        <v>73</v>
      </c>
      <c r="D46" s="8" t="s">
        <v>16</v>
      </c>
      <c r="E46" s="3" t="s">
        <v>47</v>
      </c>
      <c r="F46" s="3" t="s">
        <v>10</v>
      </c>
      <c r="G46" s="3" t="s">
        <v>22</v>
      </c>
      <c r="H46" s="3">
        <v>4</v>
      </c>
      <c r="I46" s="3">
        <v>2384</v>
      </c>
      <c r="J46" s="6">
        <v>9536</v>
      </c>
      <c r="K46" s="6">
        <v>7991</v>
      </c>
      <c r="L46" s="6">
        <v>1545</v>
      </c>
      <c r="M46" t="str">
        <f t="shared" si="0"/>
        <v>May</v>
      </c>
    </row>
    <row r="47" spans="1:13">
      <c r="A47" s="3">
        <v>1046</v>
      </c>
      <c r="B47" s="4">
        <v>45724</v>
      </c>
      <c r="C47" s="8" t="s">
        <v>72</v>
      </c>
      <c r="D47" s="8" t="s">
        <v>20</v>
      </c>
      <c r="E47" s="3" t="s">
        <v>11</v>
      </c>
      <c r="F47" s="3" t="s">
        <v>6</v>
      </c>
      <c r="G47" s="3" t="s">
        <v>22</v>
      </c>
      <c r="H47" s="3">
        <v>3</v>
      </c>
      <c r="I47" s="3">
        <v>17570</v>
      </c>
      <c r="J47" s="6">
        <v>52710</v>
      </c>
      <c r="K47" s="6">
        <v>46902</v>
      </c>
      <c r="L47" s="6">
        <v>5808</v>
      </c>
      <c r="M47" t="str">
        <f t="shared" si="0"/>
        <v>March</v>
      </c>
    </row>
    <row r="48" spans="1:13">
      <c r="A48" s="3">
        <v>1047</v>
      </c>
      <c r="B48" s="4">
        <v>45709</v>
      </c>
      <c r="C48" s="8" t="s">
        <v>74</v>
      </c>
      <c r="D48" s="8" t="s">
        <v>20</v>
      </c>
      <c r="E48" s="3" t="s">
        <v>50</v>
      </c>
      <c r="F48" s="3" t="s">
        <v>8</v>
      </c>
      <c r="G48" s="3" t="s">
        <v>22</v>
      </c>
      <c r="H48" s="3">
        <v>2</v>
      </c>
      <c r="I48" s="3">
        <v>3679</v>
      </c>
      <c r="J48" s="6">
        <v>7358</v>
      </c>
      <c r="K48" s="6">
        <v>5073</v>
      </c>
      <c r="L48" s="6">
        <v>2285</v>
      </c>
      <c r="M48" t="str">
        <f t="shared" si="0"/>
        <v>February</v>
      </c>
    </row>
    <row r="49" spans="1:13">
      <c r="A49" s="3">
        <v>1048</v>
      </c>
      <c r="B49" s="4">
        <v>45770</v>
      </c>
      <c r="C49" s="8" t="s">
        <v>63</v>
      </c>
      <c r="D49" s="8" t="s">
        <v>16</v>
      </c>
      <c r="E49" s="3" t="s">
        <v>11</v>
      </c>
      <c r="F49" s="3" t="s">
        <v>6</v>
      </c>
      <c r="G49" s="3" t="s">
        <v>21</v>
      </c>
      <c r="H49" s="3">
        <v>5</v>
      </c>
      <c r="I49" s="3">
        <v>18771</v>
      </c>
      <c r="J49" s="6">
        <v>93855</v>
      </c>
      <c r="K49" s="6">
        <v>84064</v>
      </c>
      <c r="L49" s="6">
        <v>9791</v>
      </c>
      <c r="M49" t="str">
        <f t="shared" si="0"/>
        <v>April</v>
      </c>
    </row>
    <row r="50" spans="1:13">
      <c r="A50" s="3">
        <v>1049</v>
      </c>
      <c r="B50" s="4">
        <v>45779</v>
      </c>
      <c r="C50" s="8" t="s">
        <v>75</v>
      </c>
      <c r="D50" s="8" t="s">
        <v>16</v>
      </c>
      <c r="E50" s="3" t="s">
        <v>9</v>
      </c>
      <c r="F50" s="3" t="s">
        <v>6</v>
      </c>
      <c r="G50" s="3" t="s">
        <v>22</v>
      </c>
      <c r="H50" s="3">
        <v>4</v>
      </c>
      <c r="I50" s="3">
        <v>3043</v>
      </c>
      <c r="J50" s="6">
        <v>12172</v>
      </c>
      <c r="K50" s="6">
        <v>9121</v>
      </c>
      <c r="L50" s="6">
        <v>3051</v>
      </c>
      <c r="M50" t="str">
        <f t="shared" si="0"/>
        <v>May</v>
      </c>
    </row>
    <row r="51" spans="1:13">
      <c r="A51" s="3">
        <v>1050</v>
      </c>
      <c r="B51" s="4">
        <v>45782</v>
      </c>
      <c r="C51" s="8" t="s">
        <v>76</v>
      </c>
      <c r="D51" s="8" t="s">
        <v>15</v>
      </c>
      <c r="E51" s="3" t="s">
        <v>9</v>
      </c>
      <c r="F51" s="3" t="s">
        <v>6</v>
      </c>
      <c r="G51" s="3" t="s">
        <v>22</v>
      </c>
      <c r="H51" s="3">
        <v>1</v>
      </c>
      <c r="I51" s="3">
        <v>17020</v>
      </c>
      <c r="J51" s="6">
        <v>17020</v>
      </c>
      <c r="K51" s="6">
        <v>11139</v>
      </c>
      <c r="L51" s="6">
        <v>5881</v>
      </c>
      <c r="M51" t="str">
        <f t="shared" si="0"/>
        <v>May</v>
      </c>
    </row>
    <row r="52" spans="1:13">
      <c r="A52" s="3">
        <v>1051</v>
      </c>
      <c r="B52" s="4">
        <v>45737</v>
      </c>
      <c r="C52" s="8" t="s">
        <v>61</v>
      </c>
      <c r="D52" s="8" t="s">
        <v>16</v>
      </c>
      <c r="E52" s="3" t="s">
        <v>7</v>
      </c>
      <c r="F52" s="3" t="s">
        <v>8</v>
      </c>
      <c r="G52" s="3" t="s">
        <v>21</v>
      </c>
      <c r="H52" s="3">
        <v>1</v>
      </c>
      <c r="I52" s="3">
        <v>11932</v>
      </c>
      <c r="J52" s="6">
        <v>11932</v>
      </c>
      <c r="K52" s="6">
        <v>8056</v>
      </c>
      <c r="L52" s="6">
        <v>3876</v>
      </c>
      <c r="M52" t="str">
        <f t="shared" si="0"/>
        <v>March</v>
      </c>
    </row>
    <row r="53" spans="1:13">
      <c r="A53" s="3">
        <v>1052</v>
      </c>
      <c r="B53" s="4">
        <v>45758</v>
      </c>
      <c r="C53" s="8" t="s">
        <v>77</v>
      </c>
      <c r="D53" s="8" t="s">
        <v>15</v>
      </c>
      <c r="E53" s="3" t="s">
        <v>50</v>
      </c>
      <c r="F53" s="3" t="s">
        <v>8</v>
      </c>
      <c r="G53" s="3" t="s">
        <v>22</v>
      </c>
      <c r="H53" s="3">
        <v>5</v>
      </c>
      <c r="I53" s="3">
        <v>7808</v>
      </c>
      <c r="J53" s="6">
        <v>39040</v>
      </c>
      <c r="K53" s="6">
        <v>24513</v>
      </c>
      <c r="L53" s="6">
        <v>14527</v>
      </c>
      <c r="M53" t="str">
        <f t="shared" si="0"/>
        <v>April</v>
      </c>
    </row>
    <row r="54" spans="1:13">
      <c r="A54" s="3">
        <v>1053</v>
      </c>
      <c r="B54" s="4">
        <v>45824</v>
      </c>
      <c r="C54" s="8" t="s">
        <v>67</v>
      </c>
      <c r="D54" s="8" t="s">
        <v>16</v>
      </c>
      <c r="E54" s="3" t="s">
        <v>9</v>
      </c>
      <c r="F54" s="3" t="s">
        <v>6</v>
      </c>
      <c r="G54" s="3" t="s">
        <v>22</v>
      </c>
      <c r="H54" s="3">
        <v>1</v>
      </c>
      <c r="I54" s="3">
        <v>17998</v>
      </c>
      <c r="J54" s="6">
        <v>17998</v>
      </c>
      <c r="K54" s="6">
        <v>14741</v>
      </c>
      <c r="L54" s="6">
        <v>3257</v>
      </c>
      <c r="M54" t="str">
        <f t="shared" si="0"/>
        <v>June</v>
      </c>
    </row>
    <row r="55" spans="1:13">
      <c r="A55" s="3">
        <v>1054</v>
      </c>
      <c r="B55" s="4">
        <v>45788</v>
      </c>
      <c r="C55" s="8" t="s">
        <v>45</v>
      </c>
      <c r="D55" s="8" t="s">
        <v>16</v>
      </c>
      <c r="E55" s="3" t="s">
        <v>5</v>
      </c>
      <c r="F55" s="3" t="s">
        <v>10</v>
      </c>
      <c r="G55" s="3" t="s">
        <v>21</v>
      </c>
      <c r="H55" s="3">
        <v>3</v>
      </c>
      <c r="I55" s="3">
        <v>7929</v>
      </c>
      <c r="J55" s="6">
        <v>23787</v>
      </c>
      <c r="K55" s="6">
        <v>18627</v>
      </c>
      <c r="L55" s="6">
        <v>5160</v>
      </c>
      <c r="M55" t="str">
        <f t="shared" si="0"/>
        <v>May</v>
      </c>
    </row>
    <row r="56" spans="1:13">
      <c r="A56" s="3">
        <v>1055</v>
      </c>
      <c r="B56" s="4">
        <v>45820</v>
      </c>
      <c r="C56" s="8" t="s">
        <v>51</v>
      </c>
      <c r="D56" s="8" t="s">
        <v>16</v>
      </c>
      <c r="E56" s="3" t="s">
        <v>42</v>
      </c>
      <c r="F56" s="3" t="s">
        <v>10</v>
      </c>
      <c r="G56" s="3" t="s">
        <v>22</v>
      </c>
      <c r="H56" s="3">
        <v>4</v>
      </c>
      <c r="I56" s="3">
        <v>7221</v>
      </c>
      <c r="J56" s="6">
        <v>28884</v>
      </c>
      <c r="K56" s="6">
        <v>22644</v>
      </c>
      <c r="L56" s="6">
        <v>6240</v>
      </c>
      <c r="M56" t="str">
        <f t="shared" si="0"/>
        <v>June</v>
      </c>
    </row>
    <row r="57" spans="1:13">
      <c r="A57" s="3">
        <v>1056</v>
      </c>
      <c r="B57" s="4">
        <v>45791</v>
      </c>
      <c r="C57" s="8" t="s">
        <v>55</v>
      </c>
      <c r="D57" s="8" t="s">
        <v>16</v>
      </c>
      <c r="E57" s="3" t="s">
        <v>7</v>
      </c>
      <c r="F57" s="3" t="s">
        <v>8</v>
      </c>
      <c r="G57" s="3" t="s">
        <v>21</v>
      </c>
      <c r="H57" s="3">
        <v>3</v>
      </c>
      <c r="I57" s="3">
        <v>17104</v>
      </c>
      <c r="J57" s="6">
        <v>51312</v>
      </c>
      <c r="K57" s="6">
        <v>32100</v>
      </c>
      <c r="L57" s="6">
        <v>19212</v>
      </c>
      <c r="M57" t="str">
        <f t="shared" si="0"/>
        <v>May</v>
      </c>
    </row>
    <row r="58" spans="1:13">
      <c r="A58" s="3">
        <v>1057</v>
      </c>
      <c r="B58" s="4">
        <v>45825</v>
      </c>
      <c r="C58" s="8" t="s">
        <v>55</v>
      </c>
      <c r="D58" s="8" t="s">
        <v>20</v>
      </c>
      <c r="E58" s="3" t="s">
        <v>50</v>
      </c>
      <c r="F58" s="3" t="s">
        <v>8</v>
      </c>
      <c r="G58" s="3" t="s">
        <v>22</v>
      </c>
      <c r="H58" s="3">
        <v>1</v>
      </c>
      <c r="I58" s="3">
        <v>3906</v>
      </c>
      <c r="J58" s="6">
        <v>3906</v>
      </c>
      <c r="K58" s="6">
        <v>2827</v>
      </c>
      <c r="L58" s="6">
        <v>1079</v>
      </c>
      <c r="M58" t="str">
        <f t="shared" si="0"/>
        <v>June</v>
      </c>
    </row>
    <row r="59" spans="1:13">
      <c r="A59" s="3">
        <v>1058</v>
      </c>
      <c r="B59" s="4">
        <v>45742</v>
      </c>
      <c r="C59" s="8" t="s">
        <v>56</v>
      </c>
      <c r="D59" s="8" t="s">
        <v>20</v>
      </c>
      <c r="E59" s="3" t="s">
        <v>7</v>
      </c>
      <c r="F59" s="3" t="s">
        <v>8</v>
      </c>
      <c r="G59" s="3" t="s">
        <v>21</v>
      </c>
      <c r="H59" s="3">
        <v>5</v>
      </c>
      <c r="I59" s="3">
        <v>2563</v>
      </c>
      <c r="J59" s="6">
        <v>12815</v>
      </c>
      <c r="K59" s="6">
        <v>10157</v>
      </c>
      <c r="L59" s="6">
        <v>2658</v>
      </c>
      <c r="M59" t="str">
        <f t="shared" si="0"/>
        <v>March</v>
      </c>
    </row>
    <row r="60" spans="1:13">
      <c r="A60" s="3">
        <v>1059</v>
      </c>
      <c r="B60" s="4">
        <v>45769</v>
      </c>
      <c r="C60" s="8" t="s">
        <v>45</v>
      </c>
      <c r="D60" s="8" t="s">
        <v>20</v>
      </c>
      <c r="E60" s="3" t="s">
        <v>2</v>
      </c>
      <c r="F60" s="3" t="s">
        <v>8</v>
      </c>
      <c r="G60" s="3" t="s">
        <v>22</v>
      </c>
      <c r="H60" s="3">
        <v>4</v>
      </c>
      <c r="I60" s="3">
        <v>10573</v>
      </c>
      <c r="J60" s="6">
        <v>42292</v>
      </c>
      <c r="K60" s="6">
        <v>32023</v>
      </c>
      <c r="L60" s="6">
        <v>10269</v>
      </c>
      <c r="M60" t="str">
        <f t="shared" si="0"/>
        <v>April</v>
      </c>
    </row>
    <row r="61" spans="1:13">
      <c r="A61" s="3">
        <v>1060</v>
      </c>
      <c r="B61" s="4">
        <v>45685</v>
      </c>
      <c r="C61" s="8" t="s">
        <v>61</v>
      </c>
      <c r="D61" s="8" t="s">
        <v>16</v>
      </c>
      <c r="E61" s="3" t="s">
        <v>42</v>
      </c>
      <c r="F61" s="3" t="s">
        <v>10</v>
      </c>
      <c r="G61" s="3" t="s">
        <v>22</v>
      </c>
      <c r="H61" s="3">
        <v>2</v>
      </c>
      <c r="I61" s="3">
        <v>1828</v>
      </c>
      <c r="J61" s="6">
        <v>3656</v>
      </c>
      <c r="K61" s="6">
        <v>2265</v>
      </c>
      <c r="L61" s="6">
        <v>1391</v>
      </c>
      <c r="M61" t="str">
        <f t="shared" si="0"/>
        <v>January</v>
      </c>
    </row>
    <row r="62" spans="1:13">
      <c r="A62" s="3">
        <v>1061</v>
      </c>
      <c r="B62" s="4">
        <v>45802</v>
      </c>
      <c r="C62" s="8" t="s">
        <v>69</v>
      </c>
      <c r="D62" s="8" t="s">
        <v>16</v>
      </c>
      <c r="E62" s="3" t="s">
        <v>42</v>
      </c>
      <c r="F62" s="3" t="s">
        <v>10</v>
      </c>
      <c r="G62" s="3" t="s">
        <v>22</v>
      </c>
      <c r="H62" s="3">
        <v>5</v>
      </c>
      <c r="I62" s="3">
        <v>8457</v>
      </c>
      <c r="J62" s="6">
        <v>42285</v>
      </c>
      <c r="K62" s="6">
        <v>32538</v>
      </c>
      <c r="L62" s="6">
        <v>9747</v>
      </c>
      <c r="M62" t="str">
        <f t="shared" si="0"/>
        <v>May</v>
      </c>
    </row>
    <row r="63" spans="1:13">
      <c r="A63" s="3">
        <v>1062</v>
      </c>
      <c r="B63" s="4">
        <v>45750</v>
      </c>
      <c r="C63" s="8" t="s">
        <v>78</v>
      </c>
      <c r="D63" s="8" t="s">
        <v>20</v>
      </c>
      <c r="E63" s="3" t="s">
        <v>42</v>
      </c>
      <c r="F63" s="3" t="s">
        <v>10</v>
      </c>
      <c r="G63" s="3" t="s">
        <v>21</v>
      </c>
      <c r="H63" s="3">
        <v>3</v>
      </c>
      <c r="I63" s="3">
        <v>17404</v>
      </c>
      <c r="J63" s="6">
        <v>52212</v>
      </c>
      <c r="K63" s="6">
        <v>34338</v>
      </c>
      <c r="L63" s="6">
        <v>17874</v>
      </c>
      <c r="M63" t="str">
        <f t="shared" si="0"/>
        <v>April</v>
      </c>
    </row>
    <row r="64" spans="1:13">
      <c r="A64" s="3">
        <v>1063</v>
      </c>
      <c r="B64" s="4">
        <v>45718</v>
      </c>
      <c r="C64" s="8" t="s">
        <v>69</v>
      </c>
      <c r="D64" s="8" t="s">
        <v>15</v>
      </c>
      <c r="E64" s="3" t="s">
        <v>9</v>
      </c>
      <c r="F64" s="3" t="s">
        <v>6</v>
      </c>
      <c r="G64" s="3" t="s">
        <v>22</v>
      </c>
      <c r="H64" s="3">
        <v>3</v>
      </c>
      <c r="I64" s="3">
        <v>3023</v>
      </c>
      <c r="J64" s="6">
        <v>9069</v>
      </c>
      <c r="K64" s="6">
        <v>6421</v>
      </c>
      <c r="L64" s="6">
        <v>2648</v>
      </c>
      <c r="M64" t="str">
        <f t="shared" si="0"/>
        <v>March</v>
      </c>
    </row>
    <row r="65" spans="1:13">
      <c r="A65" s="3">
        <v>1064</v>
      </c>
      <c r="B65" s="4">
        <v>45673</v>
      </c>
      <c r="C65" s="8" t="s">
        <v>78</v>
      </c>
      <c r="D65" s="8" t="s">
        <v>17</v>
      </c>
      <c r="E65" s="3" t="s">
        <v>9</v>
      </c>
      <c r="F65" s="3" t="s">
        <v>6</v>
      </c>
      <c r="G65" s="3" t="s">
        <v>21</v>
      </c>
      <c r="H65" s="3">
        <v>2</v>
      </c>
      <c r="I65" s="3">
        <v>9504</v>
      </c>
      <c r="J65" s="6">
        <v>19008</v>
      </c>
      <c r="K65" s="6">
        <v>11979</v>
      </c>
      <c r="L65" s="6">
        <v>7029</v>
      </c>
      <c r="M65" t="str">
        <f t="shared" si="0"/>
        <v>January</v>
      </c>
    </row>
    <row r="66" spans="1:13">
      <c r="A66" s="3">
        <v>1065</v>
      </c>
      <c r="B66" s="4">
        <v>45805</v>
      </c>
      <c r="C66" s="8" t="s">
        <v>75</v>
      </c>
      <c r="D66" s="8" t="s">
        <v>20</v>
      </c>
      <c r="E66" s="3" t="s">
        <v>50</v>
      </c>
      <c r="F66" s="3" t="s">
        <v>8</v>
      </c>
      <c r="G66" s="3" t="s">
        <v>21</v>
      </c>
      <c r="H66" s="3">
        <v>2</v>
      </c>
      <c r="I66" s="3">
        <v>18086</v>
      </c>
      <c r="J66" s="6">
        <v>36172</v>
      </c>
      <c r="K66" s="6">
        <v>29088</v>
      </c>
      <c r="L66" s="6">
        <v>7084</v>
      </c>
      <c r="M66" t="str">
        <f t="shared" si="0"/>
        <v>May</v>
      </c>
    </row>
    <row r="67" spans="1:13">
      <c r="A67" s="3">
        <v>1066</v>
      </c>
      <c r="B67" s="4">
        <v>45679</v>
      </c>
      <c r="C67" s="8" t="s">
        <v>79</v>
      </c>
      <c r="D67" s="8" t="s">
        <v>17</v>
      </c>
      <c r="E67" s="3" t="s">
        <v>7</v>
      </c>
      <c r="F67" s="3" t="s">
        <v>8</v>
      </c>
      <c r="G67" s="3" t="s">
        <v>22</v>
      </c>
      <c r="H67" s="3">
        <v>4</v>
      </c>
      <c r="I67" s="3">
        <v>2529</v>
      </c>
      <c r="J67" s="6">
        <v>10116</v>
      </c>
      <c r="K67" s="6">
        <v>7329</v>
      </c>
      <c r="L67" s="6">
        <v>2787</v>
      </c>
      <c r="M67" t="str">
        <f t="shared" ref="M67:M101" si="1">TEXT(B67,"mmmm")</f>
        <v>January</v>
      </c>
    </row>
    <row r="68" spans="1:13">
      <c r="A68" s="3">
        <v>1067</v>
      </c>
      <c r="B68" s="4">
        <v>45708</v>
      </c>
      <c r="C68" s="8" t="s">
        <v>80</v>
      </c>
      <c r="D68" s="8" t="s">
        <v>16</v>
      </c>
      <c r="E68" s="3" t="s">
        <v>7</v>
      </c>
      <c r="F68" s="3" t="s">
        <v>8</v>
      </c>
      <c r="G68" s="3" t="s">
        <v>21</v>
      </c>
      <c r="H68" s="3">
        <v>4</v>
      </c>
      <c r="I68" s="3">
        <v>1713</v>
      </c>
      <c r="J68" s="6">
        <v>6852</v>
      </c>
      <c r="K68" s="6">
        <v>4296</v>
      </c>
      <c r="L68" s="6">
        <v>2556</v>
      </c>
      <c r="M68" t="str">
        <f t="shared" si="1"/>
        <v>February</v>
      </c>
    </row>
    <row r="69" spans="1:13">
      <c r="A69" s="3">
        <v>1068</v>
      </c>
      <c r="B69" s="4">
        <v>45746</v>
      </c>
      <c r="C69" s="8" t="s">
        <v>71</v>
      </c>
      <c r="D69" s="8" t="s">
        <v>20</v>
      </c>
      <c r="E69" s="3" t="s">
        <v>9</v>
      </c>
      <c r="F69" s="3" t="s">
        <v>6</v>
      </c>
      <c r="G69" s="3" t="s">
        <v>22</v>
      </c>
      <c r="H69" s="3">
        <v>2</v>
      </c>
      <c r="I69" s="3">
        <v>10272</v>
      </c>
      <c r="J69" s="6">
        <v>20544</v>
      </c>
      <c r="K69" s="6">
        <v>17056</v>
      </c>
      <c r="L69" s="6">
        <v>3488</v>
      </c>
      <c r="M69" t="str">
        <f t="shared" si="1"/>
        <v>March</v>
      </c>
    </row>
    <row r="70" spans="1:13">
      <c r="A70" s="3">
        <v>1069</v>
      </c>
      <c r="B70" s="4">
        <v>45748</v>
      </c>
      <c r="C70" s="8" t="s">
        <v>81</v>
      </c>
      <c r="D70" s="8" t="s">
        <v>16</v>
      </c>
      <c r="E70" s="3" t="s">
        <v>9</v>
      </c>
      <c r="F70" s="3" t="s">
        <v>6</v>
      </c>
      <c r="G70" s="3" t="s">
        <v>22</v>
      </c>
      <c r="H70" s="3">
        <v>5</v>
      </c>
      <c r="I70" s="3">
        <v>1429</v>
      </c>
      <c r="J70" s="6">
        <v>7145</v>
      </c>
      <c r="K70" s="6">
        <v>5657</v>
      </c>
      <c r="L70" s="6">
        <v>1488</v>
      </c>
      <c r="M70" t="str">
        <f t="shared" si="1"/>
        <v>April</v>
      </c>
    </row>
    <row r="71" spans="1:13">
      <c r="A71" s="3">
        <v>1070</v>
      </c>
      <c r="B71" s="4">
        <v>45722</v>
      </c>
      <c r="C71" s="8" t="s">
        <v>78</v>
      </c>
      <c r="D71" s="8" t="s">
        <v>20</v>
      </c>
      <c r="E71" s="3" t="s">
        <v>5</v>
      </c>
      <c r="F71" s="3" t="s">
        <v>10</v>
      </c>
      <c r="G71" s="3" t="s">
        <v>22</v>
      </c>
      <c r="H71" s="3">
        <v>2</v>
      </c>
      <c r="I71" s="3">
        <v>4680</v>
      </c>
      <c r="J71" s="6">
        <v>9360</v>
      </c>
      <c r="K71" s="6">
        <v>6034</v>
      </c>
      <c r="L71" s="6">
        <v>3326</v>
      </c>
      <c r="M71" t="str">
        <f t="shared" si="1"/>
        <v>March</v>
      </c>
    </row>
    <row r="72" spans="1:13">
      <c r="A72" s="3">
        <v>1071</v>
      </c>
      <c r="B72" s="4">
        <v>45763</v>
      </c>
      <c r="C72" s="8" t="s">
        <v>54</v>
      </c>
      <c r="D72" s="8" t="s">
        <v>20</v>
      </c>
      <c r="E72" s="3" t="s">
        <v>47</v>
      </c>
      <c r="F72" s="3" t="s">
        <v>10</v>
      </c>
      <c r="G72" s="3" t="s">
        <v>22</v>
      </c>
      <c r="H72" s="3">
        <v>1</v>
      </c>
      <c r="I72" s="3">
        <v>2442</v>
      </c>
      <c r="J72" s="6">
        <v>2442</v>
      </c>
      <c r="K72" s="6">
        <v>1814</v>
      </c>
      <c r="L72" s="6">
        <v>628</v>
      </c>
      <c r="M72" t="str">
        <f t="shared" si="1"/>
        <v>April</v>
      </c>
    </row>
    <row r="73" spans="1:13">
      <c r="A73" s="3">
        <v>1072</v>
      </c>
      <c r="B73" s="4">
        <v>45768</v>
      </c>
      <c r="C73" s="8" t="s">
        <v>74</v>
      </c>
      <c r="D73" s="8" t="s">
        <v>16</v>
      </c>
      <c r="E73" s="3" t="s">
        <v>42</v>
      </c>
      <c r="F73" s="3" t="s">
        <v>10</v>
      </c>
      <c r="G73" s="3" t="s">
        <v>22</v>
      </c>
      <c r="H73" s="3">
        <v>5</v>
      </c>
      <c r="I73" s="3">
        <v>1766</v>
      </c>
      <c r="J73" s="6">
        <v>8830</v>
      </c>
      <c r="K73" s="6">
        <v>6674</v>
      </c>
      <c r="L73" s="6">
        <v>2156</v>
      </c>
      <c r="M73" t="str">
        <f t="shared" si="1"/>
        <v>April</v>
      </c>
    </row>
    <row r="74" spans="1:13">
      <c r="A74" s="3">
        <v>1073</v>
      </c>
      <c r="B74" s="4">
        <v>45675</v>
      </c>
      <c r="C74" s="8" t="s">
        <v>59</v>
      </c>
      <c r="D74" s="8" t="s">
        <v>20</v>
      </c>
      <c r="E74" s="3" t="s">
        <v>5</v>
      </c>
      <c r="F74" s="3" t="s">
        <v>10</v>
      </c>
      <c r="G74" s="3" t="s">
        <v>22</v>
      </c>
      <c r="H74" s="3">
        <v>4</v>
      </c>
      <c r="I74" s="3">
        <v>7800</v>
      </c>
      <c r="J74" s="6">
        <v>31200</v>
      </c>
      <c r="K74" s="6">
        <v>19083</v>
      </c>
      <c r="L74" s="6">
        <v>12117</v>
      </c>
      <c r="M74" t="str">
        <f t="shared" si="1"/>
        <v>January</v>
      </c>
    </row>
    <row r="75" spans="1:13">
      <c r="A75" s="3">
        <v>1074</v>
      </c>
      <c r="B75" s="4">
        <v>45740</v>
      </c>
      <c r="C75" s="8" t="s">
        <v>58</v>
      </c>
      <c r="D75" s="8" t="s">
        <v>16</v>
      </c>
      <c r="E75" s="3" t="s">
        <v>5</v>
      </c>
      <c r="F75" s="3" t="s">
        <v>10</v>
      </c>
      <c r="G75" s="3" t="s">
        <v>21</v>
      </c>
      <c r="H75" s="3">
        <v>3</v>
      </c>
      <c r="I75" s="3">
        <v>12755</v>
      </c>
      <c r="J75" s="6">
        <v>38265</v>
      </c>
      <c r="K75" s="6">
        <v>27581</v>
      </c>
      <c r="L75" s="6">
        <v>10684</v>
      </c>
      <c r="M75" t="str">
        <f t="shared" si="1"/>
        <v>March</v>
      </c>
    </row>
    <row r="76" spans="1:13">
      <c r="A76" s="3">
        <v>1075</v>
      </c>
      <c r="B76" s="4">
        <v>45706</v>
      </c>
      <c r="C76" s="8" t="s">
        <v>81</v>
      </c>
      <c r="D76" s="8" t="s">
        <v>17</v>
      </c>
      <c r="E76" s="3" t="s">
        <v>7</v>
      </c>
      <c r="F76" s="3" t="s">
        <v>8</v>
      </c>
      <c r="G76" s="3" t="s">
        <v>21</v>
      </c>
      <c r="H76" s="3">
        <v>3</v>
      </c>
      <c r="I76" s="3">
        <v>18615</v>
      </c>
      <c r="J76" s="6">
        <v>55845</v>
      </c>
      <c r="K76" s="6">
        <v>34805</v>
      </c>
      <c r="L76" s="6">
        <v>21040</v>
      </c>
      <c r="M76" t="str">
        <f t="shared" si="1"/>
        <v>February</v>
      </c>
    </row>
    <row r="77" spans="1:13">
      <c r="A77" s="3">
        <v>1076</v>
      </c>
      <c r="B77" s="4">
        <v>45679</v>
      </c>
      <c r="C77" s="8" t="s">
        <v>39</v>
      </c>
      <c r="D77" s="8" t="s">
        <v>17</v>
      </c>
      <c r="E77" s="3" t="s">
        <v>9</v>
      </c>
      <c r="F77" s="3" t="s">
        <v>6</v>
      </c>
      <c r="G77" s="3" t="s">
        <v>22</v>
      </c>
      <c r="H77" s="3">
        <v>1</v>
      </c>
      <c r="I77" s="3">
        <v>899</v>
      </c>
      <c r="J77" s="6">
        <v>899</v>
      </c>
      <c r="K77" s="6">
        <v>744</v>
      </c>
      <c r="L77" s="6">
        <v>155</v>
      </c>
      <c r="M77" t="str">
        <f t="shared" si="1"/>
        <v>January</v>
      </c>
    </row>
    <row r="78" spans="1:13">
      <c r="A78" s="3">
        <v>1077</v>
      </c>
      <c r="B78" s="4">
        <v>45688</v>
      </c>
      <c r="C78" s="8" t="s">
        <v>66</v>
      </c>
      <c r="D78" s="8" t="s">
        <v>17</v>
      </c>
      <c r="E78" s="3" t="s">
        <v>11</v>
      </c>
      <c r="F78" s="3" t="s">
        <v>6</v>
      </c>
      <c r="G78" s="3" t="s">
        <v>22</v>
      </c>
      <c r="H78" s="3">
        <v>4</v>
      </c>
      <c r="I78" s="3">
        <v>4101</v>
      </c>
      <c r="J78" s="6">
        <v>16404</v>
      </c>
      <c r="K78" s="6">
        <v>14106</v>
      </c>
      <c r="L78" s="6">
        <v>2298</v>
      </c>
      <c r="M78" t="str">
        <f t="shared" si="1"/>
        <v>January</v>
      </c>
    </row>
    <row r="79" spans="1:13">
      <c r="A79" s="3">
        <v>1078</v>
      </c>
      <c r="B79" s="4">
        <v>45781</v>
      </c>
      <c r="C79" s="8" t="s">
        <v>82</v>
      </c>
      <c r="D79" s="8" t="s">
        <v>15</v>
      </c>
      <c r="E79" s="3" t="s">
        <v>7</v>
      </c>
      <c r="F79" s="3" t="s">
        <v>8</v>
      </c>
      <c r="G79" s="3" t="s">
        <v>21</v>
      </c>
      <c r="H79" s="3">
        <v>5</v>
      </c>
      <c r="I79" s="3">
        <v>10884</v>
      </c>
      <c r="J79" s="6">
        <v>54420</v>
      </c>
      <c r="K79" s="6">
        <v>44312</v>
      </c>
      <c r="L79" s="6">
        <v>10108</v>
      </c>
      <c r="M79" t="str">
        <f t="shared" si="1"/>
        <v>May</v>
      </c>
    </row>
    <row r="80" spans="1:13">
      <c r="A80" s="3">
        <v>1079</v>
      </c>
      <c r="B80" s="4">
        <v>45812</v>
      </c>
      <c r="C80" s="8" t="s">
        <v>69</v>
      </c>
      <c r="D80" s="8" t="s">
        <v>15</v>
      </c>
      <c r="E80" s="3" t="s">
        <v>2</v>
      </c>
      <c r="F80" s="3" t="s">
        <v>8</v>
      </c>
      <c r="G80" s="3" t="s">
        <v>21</v>
      </c>
      <c r="H80" s="3">
        <v>2</v>
      </c>
      <c r="I80" s="3">
        <v>10187</v>
      </c>
      <c r="J80" s="6">
        <v>20374</v>
      </c>
      <c r="K80" s="6">
        <v>17379</v>
      </c>
      <c r="L80" s="6">
        <v>2995</v>
      </c>
      <c r="M80" t="str">
        <f t="shared" si="1"/>
        <v>June</v>
      </c>
    </row>
    <row r="81" spans="1:13">
      <c r="A81" s="3">
        <v>1080</v>
      </c>
      <c r="B81" s="4">
        <v>45777</v>
      </c>
      <c r="C81" s="8" t="s">
        <v>79</v>
      </c>
      <c r="D81" s="8" t="s">
        <v>16</v>
      </c>
      <c r="E81" s="3" t="s">
        <v>47</v>
      </c>
      <c r="F81" s="3" t="s">
        <v>10</v>
      </c>
      <c r="G81" s="3" t="s">
        <v>22</v>
      </c>
      <c r="H81" s="3">
        <v>1</v>
      </c>
      <c r="I81" s="3">
        <v>3173</v>
      </c>
      <c r="J81" s="6">
        <v>3173</v>
      </c>
      <c r="K81" s="6">
        <v>2158</v>
      </c>
      <c r="L81" s="6">
        <v>1015</v>
      </c>
      <c r="M81" t="str">
        <f t="shared" si="1"/>
        <v>April</v>
      </c>
    </row>
    <row r="82" spans="1:13">
      <c r="A82" s="3">
        <v>1081</v>
      </c>
      <c r="B82" s="4">
        <v>45772</v>
      </c>
      <c r="C82" s="8" t="s">
        <v>80</v>
      </c>
      <c r="D82" s="8" t="s">
        <v>16</v>
      </c>
      <c r="E82" s="3" t="s">
        <v>11</v>
      </c>
      <c r="F82" s="3" t="s">
        <v>6</v>
      </c>
      <c r="G82" s="3" t="s">
        <v>22</v>
      </c>
      <c r="H82" s="3">
        <v>4</v>
      </c>
      <c r="I82" s="3">
        <v>5088</v>
      </c>
      <c r="J82" s="6">
        <v>20352</v>
      </c>
      <c r="K82" s="6">
        <v>17316</v>
      </c>
      <c r="L82" s="6">
        <v>3036</v>
      </c>
      <c r="M82" t="str">
        <f t="shared" si="1"/>
        <v>April</v>
      </c>
    </row>
    <row r="83" spans="1:13">
      <c r="A83" s="3">
        <v>1082</v>
      </c>
      <c r="B83" s="4">
        <v>45837</v>
      </c>
      <c r="C83" s="8" t="s">
        <v>40</v>
      </c>
      <c r="D83" s="8" t="s">
        <v>15</v>
      </c>
      <c r="E83" s="3" t="s">
        <v>47</v>
      </c>
      <c r="F83" s="3" t="s">
        <v>10</v>
      </c>
      <c r="G83" s="3" t="s">
        <v>22</v>
      </c>
      <c r="H83" s="3">
        <v>1</v>
      </c>
      <c r="I83" s="3">
        <v>9626</v>
      </c>
      <c r="J83" s="6">
        <v>9626</v>
      </c>
      <c r="K83" s="6">
        <v>7328</v>
      </c>
      <c r="L83" s="6">
        <v>2298</v>
      </c>
      <c r="M83" t="str">
        <f t="shared" si="1"/>
        <v>June</v>
      </c>
    </row>
    <row r="84" spans="1:13">
      <c r="A84" s="3">
        <v>1083</v>
      </c>
      <c r="B84" s="4">
        <v>45755</v>
      </c>
      <c r="C84" s="8" t="s">
        <v>83</v>
      </c>
      <c r="D84" s="8" t="s">
        <v>20</v>
      </c>
      <c r="E84" s="3" t="s">
        <v>9</v>
      </c>
      <c r="F84" s="3" t="s">
        <v>6</v>
      </c>
      <c r="G84" s="3" t="s">
        <v>21</v>
      </c>
      <c r="H84" s="3">
        <v>3</v>
      </c>
      <c r="I84" s="3">
        <v>5043</v>
      </c>
      <c r="J84" s="6">
        <v>15129</v>
      </c>
      <c r="K84" s="6">
        <v>12028</v>
      </c>
      <c r="L84" s="6">
        <v>3101</v>
      </c>
      <c r="M84" t="str">
        <f t="shared" si="1"/>
        <v>April</v>
      </c>
    </row>
    <row r="85" spans="1:13">
      <c r="A85" s="3">
        <v>1084</v>
      </c>
      <c r="B85" s="4">
        <v>45668</v>
      </c>
      <c r="C85" s="8" t="s">
        <v>60</v>
      </c>
      <c r="D85" s="8" t="s">
        <v>15</v>
      </c>
      <c r="E85" s="3" t="s">
        <v>50</v>
      </c>
      <c r="F85" s="3" t="s">
        <v>8</v>
      </c>
      <c r="G85" s="3" t="s">
        <v>22</v>
      </c>
      <c r="H85" s="3">
        <v>1</v>
      </c>
      <c r="I85" s="3">
        <v>2920</v>
      </c>
      <c r="J85" s="6">
        <v>2920</v>
      </c>
      <c r="K85" s="6">
        <v>2472</v>
      </c>
      <c r="L85" s="6">
        <v>448</v>
      </c>
      <c r="M85" t="str">
        <f t="shared" si="1"/>
        <v>January</v>
      </c>
    </row>
    <row r="86" spans="1:13">
      <c r="A86" s="3">
        <v>1085</v>
      </c>
      <c r="B86" s="4">
        <v>45718</v>
      </c>
      <c r="C86" s="8" t="s">
        <v>84</v>
      </c>
      <c r="D86" s="8" t="s">
        <v>20</v>
      </c>
      <c r="E86" s="3" t="s">
        <v>42</v>
      </c>
      <c r="F86" s="3" t="s">
        <v>10</v>
      </c>
      <c r="G86" s="3" t="s">
        <v>22</v>
      </c>
      <c r="H86" s="3">
        <v>1</v>
      </c>
      <c r="I86" s="3">
        <v>19752</v>
      </c>
      <c r="J86" s="6">
        <v>19752</v>
      </c>
      <c r="K86" s="6">
        <v>16332</v>
      </c>
      <c r="L86" s="6">
        <v>3420</v>
      </c>
      <c r="M86" t="str">
        <f t="shared" si="1"/>
        <v>March</v>
      </c>
    </row>
    <row r="87" spans="1:13">
      <c r="A87" s="3">
        <v>1086</v>
      </c>
      <c r="B87" s="4">
        <v>45681</v>
      </c>
      <c r="C87" s="8" t="s">
        <v>40</v>
      </c>
      <c r="D87" s="8" t="s">
        <v>17</v>
      </c>
      <c r="E87" s="3" t="s">
        <v>5</v>
      </c>
      <c r="F87" s="3" t="s">
        <v>10</v>
      </c>
      <c r="G87" s="3" t="s">
        <v>21</v>
      </c>
      <c r="H87" s="3">
        <v>1</v>
      </c>
      <c r="I87" s="3">
        <v>15177</v>
      </c>
      <c r="J87" s="6">
        <v>15177</v>
      </c>
      <c r="K87" s="6">
        <v>13069</v>
      </c>
      <c r="L87" s="6">
        <v>2108</v>
      </c>
      <c r="M87" t="str">
        <f t="shared" si="1"/>
        <v>January</v>
      </c>
    </row>
    <row r="88" spans="1:13">
      <c r="A88" s="3">
        <v>1087</v>
      </c>
      <c r="B88" s="4">
        <v>45797</v>
      </c>
      <c r="C88" s="8" t="s">
        <v>75</v>
      </c>
      <c r="D88" s="8" t="s">
        <v>17</v>
      </c>
      <c r="E88" s="3" t="s">
        <v>47</v>
      </c>
      <c r="F88" s="3" t="s">
        <v>10</v>
      </c>
      <c r="G88" s="3" t="s">
        <v>21</v>
      </c>
      <c r="H88" s="3">
        <v>1</v>
      </c>
      <c r="I88" s="3">
        <v>7541</v>
      </c>
      <c r="J88" s="6">
        <v>7541</v>
      </c>
      <c r="K88" s="6">
        <v>4975</v>
      </c>
      <c r="L88" s="6">
        <v>2566</v>
      </c>
      <c r="M88" t="str">
        <f t="shared" si="1"/>
        <v>May</v>
      </c>
    </row>
    <row r="89" spans="1:13">
      <c r="A89" s="3">
        <v>1088</v>
      </c>
      <c r="B89" s="4">
        <v>45749</v>
      </c>
      <c r="C89" s="8" t="s">
        <v>85</v>
      </c>
      <c r="D89" s="8" t="s">
        <v>15</v>
      </c>
      <c r="E89" s="3" t="s">
        <v>47</v>
      </c>
      <c r="F89" s="3" t="s">
        <v>10</v>
      </c>
      <c r="G89" s="3" t="s">
        <v>22</v>
      </c>
      <c r="H89" s="3">
        <v>3</v>
      </c>
      <c r="I89" s="3">
        <v>11387</v>
      </c>
      <c r="J89" s="6">
        <v>34161</v>
      </c>
      <c r="K89" s="6">
        <v>21712</v>
      </c>
      <c r="L89" s="6">
        <v>12449</v>
      </c>
      <c r="M89" t="str">
        <f t="shared" si="1"/>
        <v>April</v>
      </c>
    </row>
    <row r="90" spans="1:13">
      <c r="A90" s="3">
        <v>1089</v>
      </c>
      <c r="B90" s="4">
        <v>45725</v>
      </c>
      <c r="C90" s="8" t="s">
        <v>45</v>
      </c>
      <c r="D90" s="8" t="s">
        <v>20</v>
      </c>
      <c r="E90" s="3" t="s">
        <v>42</v>
      </c>
      <c r="F90" s="3" t="s">
        <v>10</v>
      </c>
      <c r="G90" s="3" t="s">
        <v>21</v>
      </c>
      <c r="H90" s="3">
        <v>2</v>
      </c>
      <c r="I90" s="3">
        <v>16755</v>
      </c>
      <c r="J90" s="6">
        <v>33510</v>
      </c>
      <c r="K90" s="6">
        <v>27229</v>
      </c>
      <c r="L90" s="6">
        <v>6281</v>
      </c>
      <c r="M90" t="str">
        <f t="shared" si="1"/>
        <v>March</v>
      </c>
    </row>
    <row r="91" spans="1:13">
      <c r="A91" s="3">
        <v>1090</v>
      </c>
      <c r="B91" s="4">
        <v>45740</v>
      </c>
      <c r="C91" s="8" t="s">
        <v>74</v>
      </c>
      <c r="D91" s="8" t="s">
        <v>20</v>
      </c>
      <c r="E91" s="3" t="s">
        <v>2</v>
      </c>
      <c r="F91" s="3" t="s">
        <v>8</v>
      </c>
      <c r="G91" s="3" t="s">
        <v>22</v>
      </c>
      <c r="H91" s="3">
        <v>5</v>
      </c>
      <c r="I91" s="3">
        <v>16239</v>
      </c>
      <c r="J91" s="6">
        <v>81195</v>
      </c>
      <c r="K91" s="6">
        <v>60240</v>
      </c>
      <c r="L91" s="6">
        <v>20955</v>
      </c>
      <c r="M91" t="str">
        <f t="shared" si="1"/>
        <v>March</v>
      </c>
    </row>
    <row r="92" spans="1:13">
      <c r="A92" s="3">
        <v>1091</v>
      </c>
      <c r="B92" s="4">
        <v>45791</v>
      </c>
      <c r="C92" s="8" t="s">
        <v>57</v>
      </c>
      <c r="D92" s="8" t="s">
        <v>15</v>
      </c>
      <c r="E92" s="3" t="s">
        <v>5</v>
      </c>
      <c r="F92" s="3" t="s">
        <v>10</v>
      </c>
      <c r="G92" s="3" t="s">
        <v>21</v>
      </c>
      <c r="H92" s="3">
        <v>4</v>
      </c>
      <c r="I92" s="3">
        <v>7341</v>
      </c>
      <c r="J92" s="6">
        <v>29364</v>
      </c>
      <c r="K92" s="6">
        <v>23526</v>
      </c>
      <c r="L92" s="6">
        <v>5838</v>
      </c>
      <c r="M92" t="str">
        <f t="shared" si="1"/>
        <v>May</v>
      </c>
    </row>
    <row r="93" spans="1:13">
      <c r="A93" s="3">
        <v>1092</v>
      </c>
      <c r="B93" s="4">
        <v>45705</v>
      </c>
      <c r="C93" s="8" t="s">
        <v>57</v>
      </c>
      <c r="D93" s="8" t="s">
        <v>16</v>
      </c>
      <c r="E93" s="3" t="s">
        <v>9</v>
      </c>
      <c r="F93" s="3" t="s">
        <v>6</v>
      </c>
      <c r="G93" s="3" t="s">
        <v>22</v>
      </c>
      <c r="H93" s="3">
        <v>5</v>
      </c>
      <c r="I93" s="3">
        <v>12486</v>
      </c>
      <c r="J93" s="6">
        <v>62430</v>
      </c>
      <c r="K93" s="6">
        <v>43652</v>
      </c>
      <c r="L93" s="6">
        <v>18778</v>
      </c>
      <c r="M93" t="str">
        <f t="shared" si="1"/>
        <v>February</v>
      </c>
    </row>
    <row r="94" spans="1:13">
      <c r="A94" s="3">
        <v>1093</v>
      </c>
      <c r="B94" s="4">
        <v>45814</v>
      </c>
      <c r="C94" s="8" t="s">
        <v>58</v>
      </c>
      <c r="D94" s="8" t="s">
        <v>20</v>
      </c>
      <c r="E94" s="3" t="s">
        <v>11</v>
      </c>
      <c r="F94" s="3" t="s">
        <v>6</v>
      </c>
      <c r="G94" s="3" t="s">
        <v>22</v>
      </c>
      <c r="H94" s="3">
        <v>4</v>
      </c>
      <c r="I94" s="3">
        <v>16193</v>
      </c>
      <c r="J94" s="6">
        <v>64772</v>
      </c>
      <c r="K94" s="6">
        <v>44184</v>
      </c>
      <c r="L94" s="6">
        <v>20588</v>
      </c>
      <c r="M94" t="str">
        <f t="shared" si="1"/>
        <v>June</v>
      </c>
    </row>
    <row r="95" spans="1:13">
      <c r="A95" s="3">
        <v>1094</v>
      </c>
      <c r="B95" s="4">
        <v>45818</v>
      </c>
      <c r="C95" s="8" t="s">
        <v>82</v>
      </c>
      <c r="D95" s="8" t="s">
        <v>15</v>
      </c>
      <c r="E95" s="3" t="s">
        <v>9</v>
      </c>
      <c r="F95" s="3" t="s">
        <v>6</v>
      </c>
      <c r="G95" s="3" t="s">
        <v>22</v>
      </c>
      <c r="H95" s="3">
        <v>3</v>
      </c>
      <c r="I95" s="3">
        <v>13412</v>
      </c>
      <c r="J95" s="6">
        <v>40236</v>
      </c>
      <c r="K95" s="6">
        <v>24272</v>
      </c>
      <c r="L95" s="6">
        <v>15964</v>
      </c>
      <c r="M95" t="str">
        <f t="shared" si="1"/>
        <v>June</v>
      </c>
    </row>
    <row r="96" spans="1:13">
      <c r="A96" s="3">
        <v>1095</v>
      </c>
      <c r="B96" s="4">
        <v>45742</v>
      </c>
      <c r="C96" s="8" t="s">
        <v>62</v>
      </c>
      <c r="D96" s="8" t="s">
        <v>20</v>
      </c>
      <c r="E96" s="3" t="s">
        <v>5</v>
      </c>
      <c r="F96" s="3" t="s">
        <v>10</v>
      </c>
      <c r="G96" s="3" t="s">
        <v>21</v>
      </c>
      <c r="H96" s="3">
        <v>3</v>
      </c>
      <c r="I96" s="3">
        <v>13011</v>
      </c>
      <c r="J96" s="6">
        <v>39033</v>
      </c>
      <c r="K96" s="6">
        <v>24116</v>
      </c>
      <c r="L96" s="6">
        <v>14917</v>
      </c>
      <c r="M96" t="str">
        <f t="shared" si="1"/>
        <v>March</v>
      </c>
    </row>
    <row r="97" spans="1:13">
      <c r="A97" s="3">
        <v>1096</v>
      </c>
      <c r="B97" s="4">
        <v>45830</v>
      </c>
      <c r="C97" s="8" t="s">
        <v>86</v>
      </c>
      <c r="D97" s="8" t="s">
        <v>15</v>
      </c>
      <c r="E97" s="3" t="s">
        <v>50</v>
      </c>
      <c r="F97" s="3" t="s">
        <v>8</v>
      </c>
      <c r="G97" s="3" t="s">
        <v>22</v>
      </c>
      <c r="H97" s="3">
        <v>3</v>
      </c>
      <c r="I97" s="3">
        <v>8942</v>
      </c>
      <c r="J97" s="6">
        <v>26826</v>
      </c>
      <c r="K97" s="6">
        <v>23737</v>
      </c>
      <c r="L97" s="6">
        <v>3089</v>
      </c>
      <c r="M97" t="str">
        <f t="shared" si="1"/>
        <v>June</v>
      </c>
    </row>
    <row r="98" spans="1:13">
      <c r="A98" s="3">
        <v>1097</v>
      </c>
      <c r="B98" s="4">
        <v>45673</v>
      </c>
      <c r="C98" s="8" t="s">
        <v>44</v>
      </c>
      <c r="D98" s="8" t="s">
        <v>15</v>
      </c>
      <c r="E98" s="3" t="s">
        <v>2</v>
      </c>
      <c r="F98" s="3" t="s">
        <v>8</v>
      </c>
      <c r="G98" s="3" t="s">
        <v>22</v>
      </c>
      <c r="H98" s="3">
        <v>3</v>
      </c>
      <c r="I98" s="3">
        <v>2556</v>
      </c>
      <c r="J98" s="6">
        <v>7668</v>
      </c>
      <c r="K98" s="6">
        <v>5911</v>
      </c>
      <c r="L98" s="6">
        <v>1757</v>
      </c>
      <c r="M98" t="str">
        <f t="shared" si="1"/>
        <v>January</v>
      </c>
    </row>
    <row r="99" spans="1:13">
      <c r="A99" s="3">
        <v>1098</v>
      </c>
      <c r="B99" s="4">
        <v>45795</v>
      </c>
      <c r="C99" s="8" t="s">
        <v>40</v>
      </c>
      <c r="D99" s="8" t="s">
        <v>17</v>
      </c>
      <c r="E99" s="3" t="s">
        <v>42</v>
      </c>
      <c r="F99" s="3" t="s">
        <v>10</v>
      </c>
      <c r="G99" s="3" t="s">
        <v>21</v>
      </c>
      <c r="H99" s="3">
        <v>2</v>
      </c>
      <c r="I99" s="3">
        <v>18028</v>
      </c>
      <c r="J99" s="6">
        <v>36056</v>
      </c>
      <c r="K99" s="6">
        <v>31732</v>
      </c>
      <c r="L99" s="6">
        <v>4324</v>
      </c>
      <c r="M99" t="str">
        <f t="shared" si="1"/>
        <v>May</v>
      </c>
    </row>
    <row r="100" spans="1:13">
      <c r="A100" s="3">
        <v>1099</v>
      </c>
      <c r="B100" s="4">
        <v>45747</v>
      </c>
      <c r="C100" s="8" t="s">
        <v>73</v>
      </c>
      <c r="D100" s="8" t="s">
        <v>16</v>
      </c>
      <c r="E100" s="3" t="s">
        <v>11</v>
      </c>
      <c r="F100" s="3" t="s">
        <v>6</v>
      </c>
      <c r="G100" s="3" t="s">
        <v>21</v>
      </c>
      <c r="H100" s="3">
        <v>1</v>
      </c>
      <c r="I100" s="3">
        <v>12844</v>
      </c>
      <c r="J100" s="6">
        <v>12844</v>
      </c>
      <c r="K100" s="6">
        <v>10591</v>
      </c>
      <c r="L100" s="6">
        <v>2253</v>
      </c>
      <c r="M100" t="str">
        <f t="shared" si="1"/>
        <v>March</v>
      </c>
    </row>
    <row r="101" spans="1:13">
      <c r="A101" s="3">
        <v>1100</v>
      </c>
      <c r="B101" s="4">
        <v>45763</v>
      </c>
      <c r="C101" s="8" t="s">
        <v>56</v>
      </c>
      <c r="D101" s="8" t="s">
        <v>17</v>
      </c>
      <c r="E101" s="3" t="s">
        <v>47</v>
      </c>
      <c r="F101" s="3" t="s">
        <v>10</v>
      </c>
      <c r="G101" s="3" t="s">
        <v>21</v>
      </c>
      <c r="H101" s="3">
        <v>1</v>
      </c>
      <c r="I101" s="3">
        <v>15100</v>
      </c>
      <c r="J101" s="6">
        <v>15100</v>
      </c>
      <c r="K101" s="6">
        <v>11454</v>
      </c>
      <c r="L101" s="6">
        <v>3646</v>
      </c>
      <c r="M101" t="str">
        <f t="shared" si="1"/>
        <v>April</v>
      </c>
    </row>
  </sheetData>
  <conditionalFormatting sqref="A2:A10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BF7A-DF58-4E04-A70D-5FC9F397A456}">
  <dimension ref="A1:T28"/>
  <sheetViews>
    <sheetView showGridLines="0" tabSelected="1" zoomScale="78" zoomScaleNormal="73" workbookViewId="0">
      <selection activeCell="H13" sqref="H13"/>
    </sheetView>
  </sheetViews>
  <sheetFormatPr defaultRowHeight="15"/>
  <cols>
    <col min="1" max="1" width="10" customWidth="1"/>
  </cols>
  <sheetData>
    <row r="1" spans="1:20" ht="25.5">
      <c r="A1" s="26" t="s">
        <v>87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15" customHeight="1">
      <c r="A2" s="12"/>
      <c r="B2" s="12"/>
    </row>
    <row r="3" spans="1:20" ht="15" customHeight="1">
      <c r="A3" s="12"/>
      <c r="B3" s="12"/>
      <c r="C3" s="12"/>
    </row>
    <row r="4" spans="1:20" ht="15" customHeight="1">
      <c r="B4" s="13" t="str">
        <f>ROUND(SUM(Sales_Data!J2:J101)/100000,1)&amp;"L"</f>
        <v>27.2L</v>
      </c>
      <c r="E4" s="12"/>
      <c r="F4" s="12"/>
      <c r="G4" s="13">
        <f>COUNTA(Sales_Data!A2:A101)</f>
        <v>100</v>
      </c>
      <c r="J4" s="13">
        <f>SUM(Sales_Data!J2:J101)/COUNTA(Sales_Data!A2:A101)</f>
        <v>27221.64</v>
      </c>
      <c r="O4" s="13" t="str">
        <f>ROUND(SUM(Sales_Data!L2:L101)/SUM(Sales_Data!J2:J101)*100,1)&amp;"%"</f>
        <v>25.3%</v>
      </c>
    </row>
    <row r="5" spans="1:20" ht="15" customHeight="1"/>
    <row r="6" spans="1:20" ht="15" customHeight="1">
      <c r="G6" s="14" t="str">
        <f>ROUND(SUM(Sales_Data!K2:K101)/100000,1)&amp;"L"</f>
        <v>20.3L</v>
      </c>
    </row>
    <row r="19" spans="1:8" ht="15" customHeight="1">
      <c r="B19" s="30" t="s">
        <v>88</v>
      </c>
      <c r="C19" s="31"/>
      <c r="D19" s="31"/>
      <c r="E19" s="31"/>
      <c r="F19" s="32"/>
    </row>
    <row r="20" spans="1:8" ht="15" customHeight="1">
      <c r="A20" s="15"/>
      <c r="B20" s="33"/>
      <c r="C20" s="34"/>
      <c r="D20" s="34"/>
      <c r="E20" s="34"/>
      <c r="F20" s="35"/>
    </row>
    <row r="21" spans="1:8" ht="15" customHeight="1">
      <c r="B21" s="27" t="s">
        <v>0</v>
      </c>
      <c r="C21" s="28"/>
      <c r="D21" s="28" t="s">
        <v>1</v>
      </c>
      <c r="E21" s="28"/>
      <c r="F21" s="29"/>
      <c r="H21" s="17"/>
    </row>
    <row r="22" spans="1:8" ht="15.75" customHeight="1">
      <c r="B22" s="27"/>
      <c r="C22" s="28"/>
      <c r="D22" s="28"/>
      <c r="E22" s="28"/>
      <c r="F22" s="29"/>
    </row>
    <row r="23" spans="1:8">
      <c r="B23" s="24" t="s">
        <v>2</v>
      </c>
      <c r="C23" s="25"/>
      <c r="D23" s="18">
        <v>45</v>
      </c>
      <c r="E23" s="18"/>
      <c r="F23" s="19"/>
    </row>
    <row r="24" spans="1:8">
      <c r="B24" s="24" t="s">
        <v>5</v>
      </c>
      <c r="C24" s="25"/>
      <c r="D24" s="18">
        <v>43</v>
      </c>
      <c r="E24" s="18"/>
      <c r="F24" s="19"/>
    </row>
    <row r="25" spans="1:8">
      <c r="B25" s="24" t="s">
        <v>7</v>
      </c>
      <c r="C25" s="25"/>
      <c r="D25" s="18">
        <v>40</v>
      </c>
      <c r="E25" s="18"/>
      <c r="F25" s="19"/>
    </row>
    <row r="26" spans="1:8">
      <c r="B26" s="24" t="s">
        <v>9</v>
      </c>
      <c r="C26" s="25"/>
      <c r="D26" s="18">
        <v>38</v>
      </c>
      <c r="E26" s="18"/>
      <c r="F26" s="19"/>
    </row>
    <row r="27" spans="1:8">
      <c r="B27" s="24" t="s">
        <v>11</v>
      </c>
      <c r="C27" s="25"/>
      <c r="D27" s="18">
        <v>36</v>
      </c>
      <c r="E27" s="18"/>
      <c r="F27" s="19"/>
    </row>
    <row r="28" spans="1:8">
      <c r="B28" s="22" t="s">
        <v>12</v>
      </c>
      <c r="C28" s="23"/>
      <c r="D28" s="20">
        <f>SUM(D23:F27)</f>
        <v>202</v>
      </c>
      <c r="E28" s="20"/>
      <c r="F28" s="21"/>
    </row>
  </sheetData>
  <mergeCells count="16">
    <mergeCell ref="A1:T1"/>
    <mergeCell ref="B21:C22"/>
    <mergeCell ref="D21:F22"/>
    <mergeCell ref="B19:F20"/>
    <mergeCell ref="D25:F25"/>
    <mergeCell ref="D26:F26"/>
    <mergeCell ref="D27:F27"/>
    <mergeCell ref="D28:F28"/>
    <mergeCell ref="B28:C28"/>
    <mergeCell ref="B23:C23"/>
    <mergeCell ref="B24:C24"/>
    <mergeCell ref="B25:C25"/>
    <mergeCell ref="B26:C26"/>
    <mergeCell ref="B27:C27"/>
    <mergeCell ref="D23:F23"/>
    <mergeCell ref="D24:F24"/>
  </mergeCells>
  <pageMargins left="0.7" right="0.7" top="0.75" bottom="0.75" header="0.3" footer="0.3"/>
  <pageSetup paperSize="8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2025-07-06T08:42:31Z</dcterms:created>
  <dcterms:modified xsi:type="dcterms:W3CDTF">2025-12-21T23:38:22Z</dcterms:modified>
  <cp:category/>
  <cp:contentStatus/>
</cp:coreProperties>
</file>