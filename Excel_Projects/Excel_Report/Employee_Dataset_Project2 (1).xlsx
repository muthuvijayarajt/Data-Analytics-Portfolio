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31C1713FCA6DE4/Documents/"/>
    </mc:Choice>
  </mc:AlternateContent>
  <xr:revisionPtr revIDLastSave="0" documentId="8_{A46827DD-C148-4013-B4B9-18EEAC316690}" xr6:coauthVersionLast="47" xr6:coauthVersionMax="47" xr10:uidLastSave="{00000000-0000-0000-0000-000000000000}"/>
  <bookViews>
    <workbookView xWindow="-120" yWindow="-120" windowWidth="20730" windowHeight="11040" firstSheet="4" xr2:uid="{00000000-000D-0000-FFFF-FFFF00000000}"/>
  </bookViews>
  <sheets>
    <sheet name="Project Summary" sheetId="3" r:id="rId1"/>
    <sheet name="Employee_Dataset" sheetId="6" r:id="rId2"/>
    <sheet name="Bonus Table" sheetId="2" r:id="rId3"/>
    <sheet name="Summary Count" sheetId="4" r:id="rId4"/>
    <sheet name="Pivot Sheet" sheetId="5" r:id="rId5"/>
  </sheets>
  <calcPr calcId="191028"/>
  <pivotCaches>
    <pivotCache cacheId="22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6" l="1" a="1"/>
  <c r="N2" i="6"/>
  <c r="K7" i="4"/>
  <c r="K6" i="4"/>
  <c r="D5" i="4"/>
  <c r="D4" i="4"/>
  <c r="L62" i="6"/>
  <c r="R2" i="6" a="1"/>
  <c r="R2" i="6"/>
  <c r="L99" i="6"/>
  <c r="L98" i="6"/>
  <c r="L97" i="6"/>
  <c r="L86" i="6"/>
  <c r="L85" i="6"/>
  <c r="L82" i="6"/>
  <c r="L80" i="6"/>
  <c r="L79" i="6"/>
  <c r="L77" i="6"/>
  <c r="L74" i="6"/>
  <c r="L72" i="6"/>
  <c r="L71" i="6"/>
  <c r="L69" i="6"/>
  <c r="L68" i="6"/>
  <c r="L66" i="6"/>
  <c r="L65" i="6"/>
  <c r="L63" i="6"/>
  <c r="L57" i="6"/>
  <c r="L54" i="6"/>
  <c r="L53" i="6"/>
  <c r="L52" i="6"/>
  <c r="L49" i="6"/>
  <c r="L48" i="6"/>
  <c r="L41" i="6"/>
  <c r="L39" i="6"/>
  <c r="L38" i="6"/>
  <c r="L37" i="6"/>
  <c r="L36" i="6"/>
  <c r="L34" i="6"/>
  <c r="L30" i="6"/>
  <c r="L29" i="6"/>
  <c r="L28" i="6"/>
  <c r="L23" i="6"/>
  <c r="L22" i="6"/>
  <c r="L21" i="6"/>
  <c r="L20" i="6"/>
  <c r="L18" i="6"/>
  <c r="L15" i="6"/>
  <c r="L12" i="6"/>
  <c r="L10" i="6"/>
  <c r="L8" i="6"/>
  <c r="K101" i="6"/>
  <c r="L101" i="6"/>
  <c r="K100" i="6"/>
  <c r="L100" i="6"/>
  <c r="K96" i="6"/>
  <c r="L96" i="6"/>
  <c r="K95" i="6"/>
  <c r="L95" i="6"/>
  <c r="K94" i="6"/>
  <c r="L94" i="6"/>
  <c r="K93" i="6"/>
  <c r="L93" i="6"/>
  <c r="K92" i="6"/>
  <c r="L92" i="6"/>
  <c r="K91" i="6"/>
  <c r="L91" i="6"/>
  <c r="K90" i="6"/>
  <c r="L90" i="6"/>
  <c r="K89" i="6"/>
  <c r="L89" i="6"/>
  <c r="K88" i="6"/>
  <c r="L88" i="6"/>
  <c r="K87" i="6"/>
  <c r="L87" i="6"/>
  <c r="K84" i="6"/>
  <c r="L84" i="6"/>
  <c r="K83" i="6"/>
  <c r="L83" i="6"/>
  <c r="K81" i="6"/>
  <c r="L81" i="6"/>
  <c r="K78" i="6"/>
  <c r="L78" i="6"/>
  <c r="K76" i="6"/>
  <c r="L76" i="6"/>
  <c r="K75" i="6"/>
  <c r="L75" i="6"/>
  <c r="K73" i="6"/>
  <c r="L73" i="6"/>
  <c r="K70" i="6"/>
  <c r="L70" i="6"/>
  <c r="K67" i="6"/>
  <c r="L67" i="6"/>
  <c r="K64" i="6"/>
  <c r="L64" i="6"/>
  <c r="K61" i="6"/>
  <c r="K60" i="6"/>
  <c r="L60" i="6"/>
  <c r="K59" i="6"/>
  <c r="L59" i="6"/>
  <c r="K58" i="6"/>
  <c r="L58" i="6"/>
  <c r="K56" i="6"/>
  <c r="L56" i="6"/>
  <c r="K55" i="6"/>
  <c r="L55" i="6"/>
  <c r="K51" i="6"/>
  <c r="L51" i="6"/>
  <c r="K50" i="6"/>
  <c r="L50" i="6"/>
  <c r="K47" i="6"/>
  <c r="L47" i="6"/>
  <c r="K46" i="6"/>
  <c r="L46" i="6"/>
  <c r="K45" i="6"/>
  <c r="L45" i="6"/>
  <c r="K44" i="6"/>
  <c r="L44" i="6"/>
  <c r="K43" i="6"/>
  <c r="L43" i="6"/>
  <c r="K42" i="6"/>
  <c r="L42" i="6"/>
  <c r="K40" i="6"/>
  <c r="L40" i="6"/>
  <c r="K35" i="6"/>
  <c r="L35" i="6"/>
  <c r="K33" i="6"/>
  <c r="L33" i="6"/>
  <c r="K32" i="6"/>
  <c r="L32" i="6"/>
  <c r="K31" i="6"/>
  <c r="L31" i="6"/>
  <c r="K27" i="6"/>
  <c r="L27" i="6"/>
  <c r="K26" i="6"/>
  <c r="L26" i="6"/>
  <c r="K25" i="6"/>
  <c r="L25" i="6"/>
  <c r="K24" i="6"/>
  <c r="L24" i="6"/>
  <c r="K19" i="6"/>
  <c r="L19" i="6"/>
  <c r="K17" i="6"/>
  <c r="L17" i="6"/>
  <c r="K16" i="6"/>
  <c r="L16" i="6"/>
  <c r="K14" i="6"/>
  <c r="L14" i="6"/>
  <c r="K13" i="6"/>
  <c r="L13" i="6"/>
  <c r="K11" i="6"/>
  <c r="L11" i="6"/>
  <c r="K9" i="6"/>
  <c r="L9" i="6"/>
  <c r="K7" i="6"/>
  <c r="L7" i="6"/>
  <c r="K6" i="6"/>
  <c r="L6" i="6"/>
  <c r="K5" i="6"/>
  <c r="L5" i="6"/>
  <c r="K4" i="6"/>
  <c r="L4" i="6"/>
  <c r="K3" i="6"/>
  <c r="L3" i="6"/>
  <c r="K2" i="6"/>
  <c r="G2" i="6" a="1"/>
  <c r="G2" i="6"/>
  <c r="H2" i="6"/>
  <c r="L61" i="6"/>
  <c r="I2" i="6"/>
  <c r="M2" i="6" a="1"/>
  <c r="L2" i="6"/>
  <c r="P2" i="6"/>
  <c r="H3" i="6"/>
  <c r="H4" i="6"/>
  <c r="I4" i="6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2" i="6"/>
  <c r="I12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H50" i="6"/>
  <c r="I50" i="6"/>
  <c r="H51" i="6"/>
  <c r="I51" i="6"/>
  <c r="H52" i="6"/>
  <c r="I52" i="6"/>
  <c r="H53" i="6"/>
  <c r="I53" i="6"/>
  <c r="H54" i="6"/>
  <c r="I54" i="6"/>
  <c r="H55" i="6"/>
  <c r="I55" i="6"/>
  <c r="H56" i="6"/>
  <c r="I56" i="6"/>
  <c r="H57" i="6"/>
  <c r="I57" i="6"/>
  <c r="H58" i="6"/>
  <c r="I58" i="6"/>
  <c r="H59" i="6"/>
  <c r="I59" i="6"/>
  <c r="H60" i="6"/>
  <c r="I60" i="6"/>
  <c r="H61" i="6"/>
  <c r="I61" i="6"/>
  <c r="H62" i="6"/>
  <c r="I62" i="6"/>
  <c r="H63" i="6"/>
  <c r="I63" i="6"/>
  <c r="H64" i="6"/>
  <c r="I64" i="6"/>
  <c r="H65" i="6"/>
  <c r="I65" i="6"/>
  <c r="H66" i="6"/>
  <c r="I66" i="6"/>
  <c r="H67" i="6"/>
  <c r="I67" i="6"/>
  <c r="H68" i="6"/>
  <c r="I68" i="6"/>
  <c r="H69" i="6"/>
  <c r="I69" i="6"/>
  <c r="H70" i="6"/>
  <c r="I70" i="6"/>
  <c r="H71" i="6"/>
  <c r="I71" i="6"/>
  <c r="H72" i="6"/>
  <c r="I72" i="6"/>
  <c r="H73" i="6"/>
  <c r="I73" i="6"/>
  <c r="H74" i="6"/>
  <c r="I74" i="6"/>
  <c r="H75" i="6"/>
  <c r="I75" i="6"/>
  <c r="H76" i="6"/>
  <c r="I76" i="6"/>
  <c r="H77" i="6"/>
  <c r="I77" i="6"/>
  <c r="H78" i="6"/>
  <c r="I78" i="6"/>
  <c r="H79" i="6"/>
  <c r="I79" i="6"/>
  <c r="H80" i="6"/>
  <c r="I80" i="6"/>
  <c r="H81" i="6"/>
  <c r="I81" i="6"/>
  <c r="H82" i="6"/>
  <c r="I82" i="6"/>
  <c r="H83" i="6"/>
  <c r="I83" i="6"/>
  <c r="H84" i="6"/>
  <c r="I84" i="6"/>
  <c r="H85" i="6"/>
  <c r="I85" i="6"/>
  <c r="H86" i="6"/>
  <c r="I86" i="6"/>
  <c r="H87" i="6"/>
  <c r="I87" i="6"/>
  <c r="H88" i="6"/>
  <c r="I88" i="6"/>
  <c r="H89" i="6"/>
  <c r="I89" i="6"/>
  <c r="H90" i="6"/>
  <c r="I90" i="6"/>
  <c r="H91" i="6"/>
  <c r="I91" i="6"/>
  <c r="H92" i="6"/>
  <c r="I92" i="6"/>
  <c r="H93" i="6"/>
  <c r="I93" i="6"/>
  <c r="H94" i="6"/>
  <c r="I94" i="6"/>
  <c r="H95" i="6"/>
  <c r="I95" i="6"/>
  <c r="H96" i="6"/>
  <c r="I96" i="6"/>
  <c r="H97" i="6"/>
  <c r="I97" i="6"/>
  <c r="H98" i="6"/>
  <c r="I98" i="6"/>
  <c r="H99" i="6"/>
  <c r="I99" i="6"/>
  <c r="H100" i="6"/>
  <c r="I100" i="6"/>
  <c r="H101" i="6"/>
  <c r="I101" i="6"/>
  <c r="J101" i="6"/>
  <c r="P101" i="6"/>
  <c r="S101" i="6"/>
  <c r="J100" i="6"/>
  <c r="P100" i="6"/>
  <c r="S100" i="6"/>
  <c r="J99" i="6"/>
  <c r="P99" i="6"/>
  <c r="S99" i="6"/>
  <c r="J98" i="6"/>
  <c r="P98" i="6"/>
  <c r="S98" i="6"/>
  <c r="J97" i="6"/>
  <c r="P97" i="6"/>
  <c r="S97" i="6"/>
  <c r="J96" i="6"/>
  <c r="P96" i="6"/>
  <c r="S96" i="6"/>
  <c r="J95" i="6"/>
  <c r="P95" i="6"/>
  <c r="S95" i="6"/>
  <c r="J94" i="6"/>
  <c r="P94" i="6"/>
  <c r="S94" i="6"/>
  <c r="J93" i="6"/>
  <c r="P93" i="6"/>
  <c r="S93" i="6"/>
  <c r="J92" i="6"/>
  <c r="P92" i="6"/>
  <c r="S92" i="6"/>
  <c r="J91" i="6"/>
  <c r="P91" i="6"/>
  <c r="S91" i="6"/>
  <c r="J90" i="6"/>
  <c r="P90" i="6"/>
  <c r="S90" i="6"/>
  <c r="J89" i="6"/>
  <c r="P89" i="6"/>
  <c r="S89" i="6"/>
  <c r="J88" i="6"/>
  <c r="P88" i="6"/>
  <c r="S88" i="6"/>
  <c r="J87" i="6"/>
  <c r="P87" i="6"/>
  <c r="S87" i="6"/>
  <c r="J86" i="6"/>
  <c r="P86" i="6"/>
  <c r="S86" i="6"/>
  <c r="J85" i="6"/>
  <c r="P85" i="6"/>
  <c r="S85" i="6"/>
  <c r="J84" i="6"/>
  <c r="P84" i="6"/>
  <c r="S84" i="6"/>
  <c r="J83" i="6"/>
  <c r="P83" i="6"/>
  <c r="S83" i="6"/>
  <c r="J82" i="6"/>
  <c r="P82" i="6"/>
  <c r="S82" i="6"/>
  <c r="J81" i="6"/>
  <c r="P81" i="6"/>
  <c r="S81" i="6"/>
  <c r="J80" i="6"/>
  <c r="P80" i="6"/>
  <c r="S80" i="6"/>
  <c r="J79" i="6"/>
  <c r="P79" i="6"/>
  <c r="S79" i="6"/>
  <c r="J78" i="6"/>
  <c r="P78" i="6"/>
  <c r="S78" i="6"/>
  <c r="J77" i="6"/>
  <c r="P77" i="6"/>
  <c r="S77" i="6"/>
  <c r="J76" i="6"/>
  <c r="P76" i="6"/>
  <c r="S76" i="6"/>
  <c r="J75" i="6"/>
  <c r="P75" i="6"/>
  <c r="S75" i="6"/>
  <c r="J74" i="6"/>
  <c r="P74" i="6"/>
  <c r="S74" i="6"/>
  <c r="J73" i="6"/>
  <c r="P73" i="6"/>
  <c r="S73" i="6"/>
  <c r="J72" i="6"/>
  <c r="P72" i="6"/>
  <c r="S72" i="6"/>
  <c r="J71" i="6"/>
  <c r="P71" i="6"/>
  <c r="S71" i="6"/>
  <c r="J70" i="6"/>
  <c r="P70" i="6"/>
  <c r="S70" i="6"/>
  <c r="J69" i="6"/>
  <c r="P69" i="6"/>
  <c r="S69" i="6"/>
  <c r="J68" i="6"/>
  <c r="P68" i="6"/>
  <c r="S68" i="6"/>
  <c r="J67" i="6"/>
  <c r="P67" i="6"/>
  <c r="S67" i="6"/>
  <c r="J66" i="6"/>
  <c r="P66" i="6"/>
  <c r="S66" i="6"/>
  <c r="J65" i="6"/>
  <c r="P65" i="6"/>
  <c r="S65" i="6"/>
  <c r="J64" i="6"/>
  <c r="P64" i="6"/>
  <c r="S64" i="6"/>
  <c r="J63" i="6"/>
  <c r="P63" i="6"/>
  <c r="S63" i="6"/>
  <c r="J62" i="6"/>
  <c r="P62" i="6"/>
  <c r="S62" i="6"/>
  <c r="J61" i="6"/>
  <c r="P61" i="6"/>
  <c r="S61" i="6"/>
  <c r="J60" i="6"/>
  <c r="P60" i="6"/>
  <c r="S60" i="6"/>
  <c r="J59" i="6"/>
  <c r="P59" i="6"/>
  <c r="S59" i="6"/>
  <c r="J58" i="6"/>
  <c r="P58" i="6"/>
  <c r="S58" i="6"/>
  <c r="J57" i="6"/>
  <c r="P57" i="6"/>
  <c r="S57" i="6"/>
  <c r="J56" i="6"/>
  <c r="P56" i="6"/>
  <c r="S56" i="6"/>
  <c r="J55" i="6"/>
  <c r="P55" i="6"/>
  <c r="S55" i="6"/>
  <c r="J54" i="6"/>
  <c r="P54" i="6"/>
  <c r="S54" i="6"/>
  <c r="J53" i="6"/>
  <c r="P53" i="6"/>
  <c r="S53" i="6"/>
  <c r="J52" i="6"/>
  <c r="P52" i="6"/>
  <c r="S52" i="6"/>
  <c r="J51" i="6"/>
  <c r="P51" i="6"/>
  <c r="S51" i="6"/>
  <c r="J50" i="6"/>
  <c r="P50" i="6"/>
  <c r="S50" i="6"/>
  <c r="J49" i="6"/>
  <c r="P49" i="6"/>
  <c r="S49" i="6"/>
  <c r="J48" i="6"/>
  <c r="P48" i="6"/>
  <c r="S48" i="6"/>
  <c r="J47" i="6"/>
  <c r="P47" i="6"/>
  <c r="S47" i="6"/>
  <c r="J46" i="6"/>
  <c r="P46" i="6"/>
  <c r="S46" i="6"/>
  <c r="J45" i="6"/>
  <c r="P45" i="6"/>
  <c r="S45" i="6"/>
  <c r="J44" i="6"/>
  <c r="P44" i="6"/>
  <c r="S44" i="6"/>
  <c r="J43" i="6"/>
  <c r="P43" i="6"/>
  <c r="S43" i="6"/>
  <c r="J42" i="6"/>
  <c r="P42" i="6"/>
  <c r="S42" i="6"/>
  <c r="J41" i="6"/>
  <c r="P41" i="6"/>
  <c r="S41" i="6"/>
  <c r="J40" i="6"/>
  <c r="P40" i="6"/>
  <c r="S40" i="6"/>
  <c r="J39" i="6"/>
  <c r="P39" i="6"/>
  <c r="S39" i="6"/>
  <c r="J38" i="6"/>
  <c r="P38" i="6"/>
  <c r="S38" i="6"/>
  <c r="J37" i="6"/>
  <c r="P37" i="6"/>
  <c r="S37" i="6"/>
  <c r="J36" i="6"/>
  <c r="P36" i="6"/>
  <c r="S36" i="6"/>
  <c r="J35" i="6"/>
  <c r="P35" i="6"/>
  <c r="S35" i="6"/>
  <c r="J34" i="6"/>
  <c r="P34" i="6"/>
  <c r="S34" i="6"/>
  <c r="J33" i="6"/>
  <c r="P33" i="6"/>
  <c r="S33" i="6"/>
  <c r="J32" i="6"/>
  <c r="P32" i="6"/>
  <c r="S32" i="6"/>
  <c r="J31" i="6"/>
  <c r="P31" i="6"/>
  <c r="S31" i="6"/>
  <c r="J30" i="6"/>
  <c r="P30" i="6"/>
  <c r="S30" i="6"/>
  <c r="J29" i="6"/>
  <c r="P29" i="6"/>
  <c r="S29" i="6"/>
  <c r="J28" i="6"/>
  <c r="P28" i="6"/>
  <c r="S28" i="6"/>
  <c r="J27" i="6"/>
  <c r="P27" i="6"/>
  <c r="S27" i="6"/>
  <c r="J26" i="6"/>
  <c r="P26" i="6"/>
  <c r="S26" i="6"/>
  <c r="J25" i="6"/>
  <c r="P25" i="6"/>
  <c r="S25" i="6"/>
  <c r="J24" i="6"/>
  <c r="P24" i="6"/>
  <c r="S24" i="6"/>
  <c r="J23" i="6"/>
  <c r="P23" i="6"/>
  <c r="S23" i="6"/>
  <c r="J22" i="6"/>
  <c r="P22" i="6"/>
  <c r="S22" i="6"/>
  <c r="J21" i="6"/>
  <c r="P21" i="6"/>
  <c r="S21" i="6"/>
  <c r="J20" i="6"/>
  <c r="P20" i="6"/>
  <c r="S20" i="6"/>
  <c r="J19" i="6"/>
  <c r="P19" i="6"/>
  <c r="S19" i="6"/>
  <c r="J18" i="6"/>
  <c r="P18" i="6"/>
  <c r="S18" i="6"/>
  <c r="J17" i="6"/>
  <c r="P17" i="6"/>
  <c r="S17" i="6"/>
  <c r="J16" i="6"/>
  <c r="P16" i="6"/>
  <c r="S16" i="6"/>
  <c r="J15" i="6"/>
  <c r="P15" i="6"/>
  <c r="S15" i="6"/>
  <c r="J14" i="6"/>
  <c r="P14" i="6"/>
  <c r="S14" i="6"/>
  <c r="J13" i="6"/>
  <c r="P13" i="6"/>
  <c r="S13" i="6"/>
  <c r="J12" i="6"/>
  <c r="P12" i="6"/>
  <c r="S12" i="6"/>
  <c r="J11" i="6"/>
  <c r="P11" i="6"/>
  <c r="S11" i="6"/>
  <c r="J10" i="6"/>
  <c r="P10" i="6"/>
  <c r="S10" i="6"/>
  <c r="J9" i="6"/>
  <c r="P9" i="6"/>
  <c r="S9" i="6"/>
  <c r="J8" i="6"/>
  <c r="P8" i="6"/>
  <c r="S8" i="6"/>
  <c r="J7" i="6"/>
  <c r="P7" i="6"/>
  <c r="S7" i="6"/>
  <c r="J6" i="6"/>
  <c r="P6" i="6"/>
  <c r="S6" i="6"/>
  <c r="J5" i="6"/>
  <c r="P5" i="6"/>
  <c r="S5" i="6"/>
  <c r="J4" i="6"/>
  <c r="P4" i="6"/>
  <c r="S4" i="6"/>
  <c r="M2" i="6"/>
  <c r="Q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J2" i="6"/>
  <c r="S2" i="6"/>
  <c r="I3" i="6"/>
  <c r="D8" i="4"/>
  <c r="D7" i="4"/>
  <c r="J3" i="6"/>
  <c r="S3" i="6"/>
  <c r="O2" i="6" a="1"/>
  <c r="O2" i="6"/>
  <c r="P3" i="6"/>
  <c r="D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<sst xmlns="http://schemas.openxmlformats.org/spreadsheetml/2006/main" count="509" uniqueCount="225">
  <si>
    <t>Employee Bonus Eligibility &amp; Salary Analysis</t>
  </si>
  <si>
    <t>Employee ID</t>
  </si>
  <si>
    <t>Name</t>
  </si>
  <si>
    <t>Department</t>
  </si>
  <si>
    <t>Date of Joining</t>
  </si>
  <si>
    <t>Basic Salary</t>
  </si>
  <si>
    <t>Location</t>
  </si>
  <si>
    <t>Bonus%</t>
  </si>
  <si>
    <t>Bonus Amount</t>
  </si>
  <si>
    <t>Total Salary</t>
  </si>
  <si>
    <t>Status</t>
  </si>
  <si>
    <t>Date</t>
  </si>
  <si>
    <t>years of Experience</t>
  </si>
  <si>
    <t>Joining Month Name</t>
  </si>
  <si>
    <t>High Bonus</t>
  </si>
  <si>
    <t>Salary Category</t>
  </si>
  <si>
    <t>Eligibility</t>
  </si>
  <si>
    <t>Anniversary Month</t>
  </si>
  <si>
    <t>Department Code</t>
  </si>
  <si>
    <t>Employee Summary</t>
  </si>
  <si>
    <t>EMP001</t>
  </si>
  <si>
    <t>Vijay</t>
  </si>
  <si>
    <t>Marketing</t>
  </si>
  <si>
    <t>27/02/2024</t>
  </si>
  <si>
    <t>Bangalore</t>
  </si>
  <si>
    <t>EMP002</t>
  </si>
  <si>
    <t>Dinesh</t>
  </si>
  <si>
    <t>Finance</t>
  </si>
  <si>
    <t>17/02/2024</t>
  </si>
  <si>
    <t>EMP003</t>
  </si>
  <si>
    <t>Bala</t>
  </si>
  <si>
    <t>HR</t>
  </si>
  <si>
    <t>24/04/2023</t>
  </si>
  <si>
    <t>Pune</t>
  </si>
  <si>
    <t>EMP004</t>
  </si>
  <si>
    <t>Prakash</t>
  </si>
  <si>
    <t>23/03/2021</t>
  </si>
  <si>
    <t>EMP005</t>
  </si>
  <si>
    <t>Vimal</t>
  </si>
  <si>
    <t>IT</t>
  </si>
  <si>
    <t>23/02/2023</t>
  </si>
  <si>
    <t>Chennai</t>
  </si>
  <si>
    <t>EMP006</t>
  </si>
  <si>
    <t>Saravanan</t>
  </si>
  <si>
    <t>Support</t>
  </si>
  <si>
    <t>27/03/2021</t>
  </si>
  <si>
    <t>EMP007</t>
  </si>
  <si>
    <t>Madhan</t>
  </si>
  <si>
    <t>Mumbai</t>
  </si>
  <si>
    <t>EMP008</t>
  </si>
  <si>
    <t>23/07/2021</t>
  </si>
  <si>
    <t>EMP009</t>
  </si>
  <si>
    <t>Anand</t>
  </si>
  <si>
    <t>EMP010</t>
  </si>
  <si>
    <t>Arjun</t>
  </si>
  <si>
    <t>21/05/2023</t>
  </si>
  <si>
    <t>EMP011</t>
  </si>
  <si>
    <t>Karthik</t>
  </si>
  <si>
    <t>EMP012</t>
  </si>
  <si>
    <t>25/08/2024</t>
  </si>
  <si>
    <t>EMP013</t>
  </si>
  <si>
    <t>Surya</t>
  </si>
  <si>
    <t>28/01/2021</t>
  </si>
  <si>
    <t>EMP014</t>
  </si>
  <si>
    <t>EMP015</t>
  </si>
  <si>
    <t>17/02/2022</t>
  </si>
  <si>
    <t>EMP016</t>
  </si>
  <si>
    <t>Manoj</t>
  </si>
  <si>
    <t>28/01/2022</t>
  </si>
  <si>
    <t>Delhi</t>
  </si>
  <si>
    <t>EMP017</t>
  </si>
  <si>
    <t>Sales</t>
  </si>
  <si>
    <t>EMP018</t>
  </si>
  <si>
    <t>Sanjay</t>
  </si>
  <si>
    <t>24/07/2023</t>
  </si>
  <si>
    <t>EMP019</t>
  </si>
  <si>
    <t>Rajesh</t>
  </si>
  <si>
    <t>EMP020</t>
  </si>
  <si>
    <t>Naveen</t>
  </si>
  <si>
    <t>EMP021</t>
  </si>
  <si>
    <t>EMP022</t>
  </si>
  <si>
    <t>EMP023</t>
  </si>
  <si>
    <t>Ravi</t>
  </si>
  <si>
    <t>19/10/2022</t>
  </si>
  <si>
    <t>EMP024</t>
  </si>
  <si>
    <t>26/06/2021</t>
  </si>
  <si>
    <t>EMP025</t>
  </si>
  <si>
    <t>Akash</t>
  </si>
  <si>
    <t>22/06/2021</t>
  </si>
  <si>
    <t>EMP026</t>
  </si>
  <si>
    <t>28/03/2022</t>
  </si>
  <si>
    <t>EMP027</t>
  </si>
  <si>
    <t>EMP028</t>
  </si>
  <si>
    <t>EMP029</t>
  </si>
  <si>
    <t>EMP030</t>
  </si>
  <si>
    <t>19/12/2022</t>
  </si>
  <si>
    <t>EMP031</t>
  </si>
  <si>
    <t>16/01/2024</t>
  </si>
  <si>
    <t>EMP032</t>
  </si>
  <si>
    <t>23/04/2024</t>
  </si>
  <si>
    <t>EMP033</t>
  </si>
  <si>
    <t>EMP034</t>
  </si>
  <si>
    <t>Gokul</t>
  </si>
  <si>
    <t>28/11/2024</t>
  </si>
  <si>
    <t>EMP035</t>
  </si>
  <si>
    <t>EMP036</t>
  </si>
  <si>
    <t>EMP037</t>
  </si>
  <si>
    <t>EMP038</t>
  </si>
  <si>
    <t>Ramesh</t>
  </si>
  <si>
    <t>EMP039</t>
  </si>
  <si>
    <t>17/03/2025</t>
  </si>
  <si>
    <t>EMP040</t>
  </si>
  <si>
    <t>EMP041</t>
  </si>
  <si>
    <t>22/09/2022</t>
  </si>
  <si>
    <t>EMP042</t>
  </si>
  <si>
    <t>13/09/2023</t>
  </si>
  <si>
    <t>EMP043</t>
  </si>
  <si>
    <t>16/12/2022</t>
  </si>
  <si>
    <t>EMP044</t>
  </si>
  <si>
    <t>26/03/2024</t>
  </si>
  <si>
    <t>EMP045</t>
  </si>
  <si>
    <t>30/09/2021</t>
  </si>
  <si>
    <t>EMP046</t>
  </si>
  <si>
    <t>16/01/2025</t>
  </si>
  <si>
    <t>EMP047</t>
  </si>
  <si>
    <t>EMP048</t>
  </si>
  <si>
    <t>EMP049</t>
  </si>
  <si>
    <t>25/05/2020</t>
  </si>
  <si>
    <t>EMP050</t>
  </si>
  <si>
    <t>18/05/2020</t>
  </si>
  <si>
    <t>EMP051</t>
  </si>
  <si>
    <t>EMP052</t>
  </si>
  <si>
    <t>EMP053</t>
  </si>
  <si>
    <t>EMP054</t>
  </si>
  <si>
    <t>17/07/2020</t>
  </si>
  <si>
    <t>EMP055</t>
  </si>
  <si>
    <t>21/04/2022</t>
  </si>
  <si>
    <t>EMP056</t>
  </si>
  <si>
    <t>EMP057</t>
  </si>
  <si>
    <t>27/01/2021</t>
  </si>
  <si>
    <t>EMP058</t>
  </si>
  <si>
    <t>Kiran</t>
  </si>
  <si>
    <t>14/05/2022</t>
  </si>
  <si>
    <t>EMP059</t>
  </si>
  <si>
    <t>25/11/2024</t>
  </si>
  <si>
    <t>EMP060</t>
  </si>
  <si>
    <t>13/04/2020</t>
  </si>
  <si>
    <t>EMP061</t>
  </si>
  <si>
    <t>EMP062</t>
  </si>
  <si>
    <t>EMP063</t>
  </si>
  <si>
    <t>15/02/2022</t>
  </si>
  <si>
    <t>EMP064</t>
  </si>
  <si>
    <t>EMP065</t>
  </si>
  <si>
    <t>EMP066</t>
  </si>
  <si>
    <t>21/03/2021</t>
  </si>
  <si>
    <t>EMP067</t>
  </si>
  <si>
    <t>EMP068</t>
  </si>
  <si>
    <t>EMP069</t>
  </si>
  <si>
    <t>21/05/2025</t>
  </si>
  <si>
    <t>EMP070</t>
  </si>
  <si>
    <t>EMP071</t>
  </si>
  <si>
    <t>EMP072</t>
  </si>
  <si>
    <t>22/03/2020</t>
  </si>
  <si>
    <t>EMP073</t>
  </si>
  <si>
    <t>EMP074</t>
  </si>
  <si>
    <t>22/02/2021</t>
  </si>
  <si>
    <t>EMP075</t>
  </si>
  <si>
    <t>27/06/2021</t>
  </si>
  <si>
    <t>EMP076</t>
  </si>
  <si>
    <t>EMP077</t>
  </si>
  <si>
    <t>27/02/2023</t>
  </si>
  <si>
    <t>EMP078</t>
  </si>
  <si>
    <t>EMP079</t>
  </si>
  <si>
    <t>EMP080</t>
  </si>
  <si>
    <t>16/06/2022</t>
  </si>
  <si>
    <t>EMP081</t>
  </si>
  <si>
    <t>EMP082</t>
  </si>
  <si>
    <t>31/07/2024</t>
  </si>
  <si>
    <t>EMP083</t>
  </si>
  <si>
    <t>25/06/2021</t>
  </si>
  <si>
    <t>EMP084</t>
  </si>
  <si>
    <t>EMP085</t>
  </si>
  <si>
    <t>EMP086</t>
  </si>
  <si>
    <t>27/09/2022</t>
  </si>
  <si>
    <t>EMP087</t>
  </si>
  <si>
    <t>17/05/2022</t>
  </si>
  <si>
    <t>EMP088</t>
  </si>
  <si>
    <t>28/04/2024</t>
  </si>
  <si>
    <t>EMP089</t>
  </si>
  <si>
    <t>EMP090</t>
  </si>
  <si>
    <t>20/01/2020</t>
  </si>
  <si>
    <t>EMP091</t>
  </si>
  <si>
    <t>14/03/2020</t>
  </si>
  <si>
    <t>EMP092</t>
  </si>
  <si>
    <t>30/05/2022</t>
  </si>
  <si>
    <t>EMP093</t>
  </si>
  <si>
    <t>15/01/2025</t>
  </si>
  <si>
    <t>EMP094</t>
  </si>
  <si>
    <t>26/05/2021</t>
  </si>
  <si>
    <t>EMP095</t>
  </si>
  <si>
    <t>15/12/2024</t>
  </si>
  <si>
    <t>EMP096</t>
  </si>
  <si>
    <t>EMP097</t>
  </si>
  <si>
    <t>EMP098</t>
  </si>
  <si>
    <t>EMP099</t>
  </si>
  <si>
    <t>31/05/2024</t>
  </si>
  <si>
    <t>EMP100</t>
  </si>
  <si>
    <t>24/10/2024</t>
  </si>
  <si>
    <t>Bonus %</t>
  </si>
  <si>
    <t>Employee Report - Dataset Summary Counts</t>
  </si>
  <si>
    <t xml:space="preserve"> Total employees🧑‍🤝‍🧑</t>
  </si>
  <si>
    <t xml:space="preserve"> Active employees✅</t>
  </si>
  <si>
    <t>Salary Category Summary📊:</t>
  </si>
  <si>
    <t>Probation Employee ❎</t>
  </si>
  <si>
    <t>1. High Salary</t>
  </si>
  <si>
    <t>Employee eligible for bonus 💰</t>
  </si>
  <si>
    <t xml:space="preserve">        2. Medium Salary</t>
  </si>
  <si>
    <t>Highest Salary in the Dataset 📈</t>
  </si>
  <si>
    <t>3. Low Salary</t>
  </si>
  <si>
    <t>Lowest Salary in the Dataset 📉</t>
  </si>
  <si>
    <t>Department with the highest number of employees🏢</t>
  </si>
  <si>
    <t>Marketing-24</t>
  </si>
  <si>
    <t>Total number of employees with High-Bonus Eligibility 🎯</t>
  </si>
  <si>
    <t>Count of Employee 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</si>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</sst>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mbria"/>
      <family val="2"/>
      <scheme val="major"/>
    </font>
    <font>
      <b/>
      <sz val="11"/>
      <color theme="3"/>
      <name val="Calibri"/>
      <scheme val="minor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7B"/>
        <bgColor indexed="64"/>
      </patternFill>
    </fill>
    <fill>
      <patternFill patternType="solid">
        <fgColor rgb="FFFFF066"/>
        <bgColor indexed="64"/>
      </patternFill>
    </fill>
    <fill>
      <patternFill patternType="solid">
        <fgColor rgb="FFFA3C3F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rgb="FF000000"/>
      </left>
      <right/>
      <top style="medium">
        <color rgb="FF000000"/>
      </top>
      <bottom style="medium">
        <color theme="4" tint="0.39997558519241921"/>
      </bottom>
      <diagonal/>
    </border>
    <border>
      <left/>
      <right/>
      <top style="medium">
        <color rgb="FF000000"/>
      </top>
      <bottom style="medium">
        <color theme="4" tint="0.39997558519241921"/>
      </bottom>
      <diagonal/>
    </border>
    <border>
      <left/>
      <right style="medium">
        <color rgb="FF000000"/>
      </right>
      <top style="medium">
        <color rgb="FF000000"/>
      </top>
      <bottom style="medium">
        <color theme="4" tint="0.39997558519241921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13" applyNumberFormat="0" applyFill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3" fillId="3" borderId="1" xfId="2" applyFill="1" applyBorder="1" applyAlignment="1">
      <alignment horizontal="center" vertical="center"/>
    </xf>
    <xf numFmtId="0" fontId="3" fillId="3" borderId="1" xfId="2" applyFill="1" applyBorder="1" applyAlignment="1">
      <alignment horizontal="center" vertical="top"/>
    </xf>
    <xf numFmtId="0" fontId="3" fillId="3" borderId="1" xfId="2" applyFill="1" applyBorder="1" applyAlignment="1">
      <alignment vertical="top"/>
    </xf>
    <xf numFmtId="0" fontId="3" fillId="3" borderId="1" xfId="2" applyFill="1" applyBorder="1" applyAlignment="1"/>
    <xf numFmtId="0" fontId="3" fillId="3" borderId="1" xfId="2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8" xfId="0" applyBorder="1"/>
    <xf numFmtId="0" fontId="1" fillId="0" borderId="3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6" fillId="2" borderId="0" xfId="1" applyFont="1" applyFill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4" borderId="18" xfId="0" applyNumberForma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5" fillId="5" borderId="14" xfId="1" applyFont="1" applyFill="1" applyBorder="1" applyAlignment="1">
      <alignment horizontal="center" vertical="center"/>
    </xf>
    <xf numFmtId="0" fontId="2" fillId="5" borderId="15" xfId="1" applyFill="1" applyBorder="1" applyAlignment="1">
      <alignment horizontal="center" vertical="center"/>
    </xf>
    <xf numFmtId="0" fontId="2" fillId="5" borderId="16" xfId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8" fillId="5" borderId="25" xfId="3" applyFont="1" applyFill="1" applyBorder="1" applyAlignment="1">
      <alignment horizontal="center" vertical="center"/>
    </xf>
    <xf numFmtId="0" fontId="8" fillId="5" borderId="26" xfId="3" applyFont="1" applyFill="1" applyBorder="1" applyAlignment="1">
      <alignment horizontal="center" vertical="center"/>
    </xf>
    <xf numFmtId="0" fontId="8" fillId="5" borderId="27" xfId="3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7" borderId="23" xfId="0" applyFill="1" applyBorder="1" applyAlignment="1">
      <alignment horizontal="right" vertical="center"/>
    </xf>
    <xf numFmtId="0" fontId="0" fillId="7" borderId="11" xfId="0" applyFill="1" applyBorder="1" applyAlignment="1">
      <alignment horizontal="right" vertical="center"/>
    </xf>
    <xf numFmtId="0" fontId="0" fillId="8" borderId="28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</cellXfs>
  <cellStyles count="4">
    <cellStyle name="Heading 3" xfId="3" builtinId="18"/>
    <cellStyle name="Heading 4" xfId="2" builtinId="19"/>
    <cellStyle name="Normal" xfId="0" builtinId="0"/>
    <cellStyle name="Title" xfId="1" builtinId="15"/>
  </cellStyles>
  <dxfs count="6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colors>
    <mruColors>
      <color rgb="FFFA3C3F"/>
      <color rgb="FFF9413D"/>
      <color rgb="FFFFF066"/>
      <color rgb="FF00B07B"/>
      <color rgb="FFEB0C07"/>
      <color rgb="FFFB7C79"/>
      <color rgb="FFFFFF66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40452</xdr:colOff>
      <xdr:row>51</xdr:row>
      <xdr:rowOff>64576</xdr:rowOff>
    </xdr:from>
    <xdr:to>
      <xdr:col>13</xdr:col>
      <xdr:colOff>40452</xdr:colOff>
      <xdr:row>88</xdr:row>
      <xdr:rowOff>171900</xdr:rowOff>
    </xdr:to>
    <xdr:sp macro="" textlink="">
      <xdr:nvSpPr>
        <xdr:cNvPr id="723" name="TextBox 3">
          <a:extLst>
            <a:ext uri="{FF2B5EF4-FFF2-40B4-BE49-F238E27FC236}">
              <a16:creationId xmlns:a16="http://schemas.microsoft.com/office/drawing/2014/main" id="{7F8DD1C3-0A52-D628-2423-07F3B2BC4CF8}"/>
            </a:ext>
          </a:extLst>
        </xdr:cNvPr>
        <xdr:cNvSpPr txBox="1"/>
      </xdr:nvSpPr>
      <xdr:spPr>
        <a:xfrm>
          <a:off x="1267401" y="10235339"/>
          <a:ext cx="10203051" cy="7275290"/>
        </a:xfrm>
        <a:prstGeom prst="roundRect">
          <a:avLst/>
        </a:prstGeom>
        <a:solidFill>
          <a:schemeClr val="bg1">
            <a:lumMod val="85000"/>
          </a:schemeClr>
        </a:solidFill>
        <a:ln/>
        <a:effectLst>
          <a:glow rad="63500">
            <a:schemeClr val="accent4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📊Key Findings Summary :</a:t>
          </a:r>
          <a:r>
            <a:rPr lang="en-IN" sz="1600" b="1"/>
            <a:t> </a:t>
          </a:r>
        </a:p>
        <a:p>
          <a:endParaRPr lang="en-IN" sz="1600" b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100" b="1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200" b="0"/>
            <a:t>🔍 Total Employees</a:t>
          </a:r>
          <a:r>
            <a:rPr lang="en-IN" sz="1200" b="0" baseline="0"/>
            <a:t> analyzed:</a:t>
          </a:r>
          <a:r>
            <a:rPr lang="en-IN" sz="1200" b="1" baseline="0"/>
            <a:t>100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200" b="0" baseline="0"/>
            <a:t>👨‍🦱 Active employees:</a:t>
          </a:r>
          <a:r>
            <a:rPr lang="en-IN" sz="1200" b="1" baseline="0"/>
            <a:t>93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200" b="0" baseline="0"/>
            <a:t>⌛ Probation employees:</a:t>
          </a:r>
          <a:r>
            <a:rPr lang="en-IN" sz="1200" b="1" baseline="0"/>
            <a:t>7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200" b="0" baseline="0"/>
            <a:t>💰 Employees eligible for bonus:</a:t>
          </a:r>
          <a:r>
            <a:rPr lang="en-IN" sz="1200" b="1" baseline="0"/>
            <a:t>10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200" b="0" baseline="0"/>
            <a:t>📈 Highest Salary in the dataset:</a:t>
          </a:r>
          <a:r>
            <a:rPr lang="en-IN" sz="1200" b="1" baseline="0"/>
            <a:t>73,348.15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200" b="0" baseline="0"/>
            <a:t>📉 Lowest Salary in the dataset:</a:t>
          </a:r>
          <a:r>
            <a:rPr lang="en-IN" sz="1200" b="1" baseline="0"/>
            <a:t>20,402.28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200" b="0" baseline="0"/>
            <a:t>🏢 Department with the highest number of employees:</a:t>
          </a:r>
          <a:r>
            <a:rPr lang="en-IN" sz="1200" b="1" baseline="0"/>
            <a:t>Marketing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0" baseline="0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200" b="0" baseline="0"/>
            <a:t>🎯 Total number of employees with high bonus eligibility:</a:t>
          </a:r>
          <a:r>
            <a:rPr lang="en-IN" sz="1200" b="1" baseline="0"/>
            <a:t>32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1" baseline="0"/>
        </a:p>
        <a:p>
          <a:pPr marL="171450" indent="-171450">
            <a:buFont typeface="Wingdings" panose="05000000000000000000" pitchFamily="2" charset="2"/>
            <a:buChar char="ü"/>
          </a:pPr>
          <a:endParaRPr lang="en-IN" sz="1200" b="1" baseline="0"/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US" sz="1100" b="0" baseline="0"/>
            <a:t>💵  Salary Category Summary: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US" sz="1100" b="1" baseline="0"/>
        </a:p>
        <a:p>
          <a:pPr marL="171450" indent="-171450">
            <a:buFont typeface="Wingdings" panose="05000000000000000000" pitchFamily="2" charset="2"/>
            <a:buChar char="q"/>
          </a:pPr>
          <a:r>
            <a:rPr lang="en-IN" sz="1100" b="0" baseline="0"/>
            <a:t>High Salary:</a:t>
          </a:r>
          <a:r>
            <a:rPr lang="en-IN" sz="1100" b="1" baseline="0"/>
            <a:t>31</a:t>
          </a:r>
        </a:p>
        <a:p>
          <a:pPr marL="171450" indent="-171450">
            <a:buFont typeface="Wingdings" panose="05000000000000000000" pitchFamily="2" charset="2"/>
            <a:buChar char="q"/>
          </a:pPr>
          <a:r>
            <a:rPr lang="en-IN" sz="1100" b="0" baseline="0"/>
            <a:t>Medium Salary:</a:t>
          </a:r>
          <a:r>
            <a:rPr lang="en-IN" sz="1100" b="1" baseline="0"/>
            <a:t>32</a:t>
          </a:r>
        </a:p>
        <a:p>
          <a:pPr marL="171450" indent="-171450">
            <a:buFont typeface="Wingdings" panose="05000000000000000000" pitchFamily="2" charset="2"/>
            <a:buChar char="q"/>
          </a:pPr>
          <a:r>
            <a:rPr lang="en-IN" sz="1100" b="0" baseline="0"/>
            <a:t>Low Salary:</a:t>
          </a:r>
          <a:r>
            <a:rPr lang="en-IN" sz="1100" b="1" baseline="0"/>
            <a:t>37</a:t>
          </a:r>
        </a:p>
      </xdr:txBody>
    </xdr:sp>
    <xdr:clientData/>
  </xdr:twoCellAnchor>
  <xdr:twoCellAnchor>
    <xdr:from>
      <xdr:col>2</xdr:col>
      <xdr:colOff>41705</xdr:colOff>
      <xdr:row>3</xdr:row>
      <xdr:rowOff>58871</xdr:rowOff>
    </xdr:from>
    <xdr:to>
      <xdr:col>13</xdr:col>
      <xdr:colOff>62461</xdr:colOff>
      <xdr:row>18</xdr:row>
      <xdr:rowOff>161439</xdr:rowOff>
    </xdr:to>
    <xdr:sp macro="" textlink="">
      <xdr:nvSpPr>
        <xdr:cNvPr id="721" name="Rounded Rectangle 1">
          <a:extLst>
            <a:ext uri="{FF2B5EF4-FFF2-40B4-BE49-F238E27FC236}">
              <a16:creationId xmlns:a16="http://schemas.microsoft.com/office/drawing/2014/main" id="{2277BF53-6128-F9F6-D84E-4D031E1FB568}"/>
            </a:ext>
            <a:ext uri="{147F2762-F138-4A5C-976F-8EAC2B608ADB}">
              <a16:predDERef xmlns:a16="http://schemas.microsoft.com/office/drawing/2014/main" pred="{7F8DD1C3-0A52-D628-2423-07F3B2BC4CF8}"/>
            </a:ext>
          </a:extLst>
        </xdr:cNvPr>
        <xdr:cNvSpPr/>
      </xdr:nvSpPr>
      <xdr:spPr>
        <a:xfrm>
          <a:off x="1268654" y="833786"/>
          <a:ext cx="10223807" cy="3056933"/>
        </a:xfrm>
        <a:prstGeom prst="roundRect">
          <a:avLst/>
        </a:prstGeom>
        <a:solidFill>
          <a:schemeClr val="bg1">
            <a:lumMod val="85000"/>
          </a:schemeClr>
        </a:solidFill>
        <a:ln/>
        <a:effectLst>
          <a:glow rad="63500">
            <a:schemeClr val="accent4">
              <a:satMod val="175000"/>
              <a:alpha val="40000"/>
            </a:schemeClr>
          </a:glow>
          <a:innerShdw blurRad="63500" dist="50800" dir="13500000">
            <a:prstClr val="black">
              <a:alpha val="50000"/>
            </a:prstClr>
          </a:innerShdw>
          <a:softEdge rad="31750"/>
        </a:effectLst>
        <a:scene3d>
          <a:camera prst="obliqueBottomLeft"/>
          <a:lightRig rig="threePt" dir="t"/>
        </a:scene3d>
        <a:sp3d>
          <a:bevelT/>
        </a:sp3d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📃 Project Summary</a:t>
          </a:r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	</a:t>
          </a:r>
          <a:r>
            <a:rPr lang="en-US" sz="1600">
              <a:solidFill>
                <a:schemeClr val="tx1"/>
              </a:solidFill>
              <a:latin typeface="+mn-lt"/>
              <a:ea typeface="+mn-lt"/>
              <a:cs typeface="+mn-lt"/>
            </a:rPr>
            <a:t>:</a:t>
          </a:r>
        </a:p>
        <a:p>
          <a:pPr marL="0" indent="0" algn="l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This project focused on analyzing a structured dataset containing 100 employee records collected from multiple departments.</a:t>
          </a:r>
        </a:p>
        <a:p>
          <a:pPr marL="0" indent="0" algn="l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main objective was to transform raw data into clear, actionable insights using a wide range of advanced Excel formulas and techniques.Key tasks included calculating bonus eligibility based on department-specific bonus percentages, categorizing employees by status (Active/Probation), determining years of experience using dynamic date functions, and segmenting employees into salary categories (High, Medium, Low).</a:t>
          </a:r>
        </a:p>
        <a:p>
          <a:pPr marL="0" indent="0" algn="l"/>
          <a:endParaRPr lang="en-IN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 used a combination of core formulas like IF, VLOOKUP, COUNTIF, TEXT, CONCAT, DATEIF, ROUND, AND, OR, MAX, and MIN, along with Conditional Formatting to visually distinguish experience levels, status, and salary bands.</a:t>
          </a:r>
        </a:p>
        <a:p>
          <a:pPr marL="0" indent="0" algn="l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 also created a dynamic Employee Summary column to consolidate key insights into a single, readable field. The layout was carefully designed for clarity, making the report not only functional but also presentation-ready.</a:t>
          </a:r>
        </a:p>
        <a:p>
          <a:pPr marL="0" indent="0" algn="l"/>
          <a:endParaRPr lang="en-IN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project reflects my ability to use Excel for more than just number crunching — showcasing skills in building structured, insightful, and visually compelling data reports.</a:t>
          </a:r>
        </a:p>
      </xdr:txBody>
    </xdr:sp>
    <xdr:clientData/>
  </xdr:twoCellAnchor>
  <xdr:twoCellAnchor>
    <xdr:from>
      <xdr:col>2</xdr:col>
      <xdr:colOff>52267</xdr:colOff>
      <xdr:row>21</xdr:row>
      <xdr:rowOff>2905</xdr:rowOff>
    </xdr:from>
    <xdr:to>
      <xdr:col>13</xdr:col>
      <xdr:colOff>16144</xdr:colOff>
      <xdr:row>48</xdr:row>
      <xdr:rowOff>142606</xdr:rowOff>
    </xdr:to>
    <xdr:sp macro="" textlink="">
      <xdr:nvSpPr>
        <xdr:cNvPr id="722" name="Rounded Rectangle 348">
          <a:extLst>
            <a:ext uri="{FF2B5EF4-FFF2-40B4-BE49-F238E27FC236}">
              <a16:creationId xmlns:a16="http://schemas.microsoft.com/office/drawing/2014/main" id="{75DA5494-2369-4C76-4097-B399F1C99011}"/>
            </a:ext>
            <a:ext uri="{147F2762-F138-4A5C-976F-8EAC2B608ADB}">
              <a16:predDERef xmlns:a16="http://schemas.microsoft.com/office/drawing/2014/main" pred="{2277BF53-6128-F9F6-D84E-4D031E1FB568}"/>
            </a:ext>
          </a:extLst>
        </xdr:cNvPr>
        <xdr:cNvSpPr/>
      </xdr:nvSpPr>
      <xdr:spPr>
        <a:xfrm>
          <a:off x="1279216" y="4313371"/>
          <a:ext cx="10166928" cy="5418811"/>
        </a:xfrm>
        <a:prstGeom prst="roundRect">
          <a:avLst/>
        </a:prstGeom>
        <a:solidFill>
          <a:schemeClr val="bg1">
            <a:lumMod val="85000"/>
          </a:schemeClr>
        </a:solidFill>
        <a:effectLst>
          <a:glow rad="63500">
            <a:schemeClr val="accent4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📃Formula Used:</a:t>
          </a:r>
        </a:p>
        <a:p>
          <a:pPr algn="l"/>
          <a:endParaRPr lang="en-IN" sz="14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VLOOKUP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</a:p>
        <a:p>
          <a:pPr algn="l"/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en-IN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fetch Bonus% from the Bonus Table on Department </a:t>
          </a:r>
        </a:p>
        <a:p>
          <a:pPr algn="l"/>
          <a:r>
            <a:rPr lang="en-IN" sz="1200">
              <a:solidFill>
                <a:schemeClr val="tx1"/>
              </a:solidFill>
            </a:rPr>
            <a:t>	 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en-IN" sz="1200">
              <a:solidFill>
                <a:schemeClr val="tx1"/>
              </a:solidFill>
            </a:rPr>
            <a:t>   </a:t>
          </a:r>
          <a:r>
            <a:rPr lang="en-IN" sz="1200" baseline="0">
              <a:solidFill>
                <a:schemeClr val="tx1"/>
              </a:solidFill>
            </a:rPr>
            <a:t>         	          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determine employee Status(Active/Probation) and High Bonus eligibility</a:t>
          </a:r>
        </a:p>
        <a:p>
          <a:pPr algn="l"/>
          <a:r>
            <a:rPr lang="en-IN" sz="1200">
              <a:solidFill>
                <a:schemeClr val="tx1"/>
              </a:solidFill>
            </a:rPr>
            <a:t> 	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CONCAT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</a:p>
        <a:p>
          <a:pPr algn="l"/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          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	            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combine Employee ID and Name into one value</a:t>
          </a:r>
        </a:p>
        <a:p>
          <a:pPr algn="l"/>
          <a:r>
            <a:rPr lang="en-IN" sz="1200">
              <a:solidFill>
                <a:schemeClr val="tx1"/>
              </a:solidFill>
            </a:rPr>
            <a:t> 	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DATEDIF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</a:p>
        <a:p>
          <a:pPr algn="l"/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       	            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calculate years of Experience based on Joining Date </a:t>
          </a:r>
        </a:p>
        <a:p>
          <a:pPr algn="l"/>
          <a:r>
            <a:rPr lang="en-IN" sz="1200">
              <a:solidFill>
                <a:schemeClr val="tx1"/>
              </a:solidFill>
            </a:rPr>
            <a:t>	 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	            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convert Joining Date to Month Name (for Work Anniversary)</a:t>
          </a:r>
        </a:p>
        <a:p>
          <a:pPr algn="l"/>
          <a:r>
            <a:rPr lang="en-IN" sz="1200">
              <a:solidFill>
                <a:schemeClr val="tx1"/>
              </a:solidFill>
            </a:rPr>
            <a:t>	 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NESTED IF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en-IN" sz="1200">
              <a:solidFill>
                <a:schemeClr val="tx1"/>
              </a:solidFill>
            </a:rPr>
            <a:t>             	          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categorize employees based on Salary slabs</a:t>
          </a:r>
        </a:p>
        <a:p>
          <a:pPr algn="l"/>
          <a:r>
            <a:rPr lang="en-IN" sz="1200">
              <a:solidFill>
                <a:schemeClr val="tx1"/>
              </a:solidFill>
            </a:rPr>
            <a:t>	 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IF&amp;AND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</a:p>
        <a:p>
          <a:pPr algn="l"/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	           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check eligibility for Bonus based on Status, Salary and Years of Experience criteria</a:t>
          </a:r>
        </a:p>
        <a:p>
          <a:pPr algn="l"/>
          <a:r>
            <a:rPr lang="en-IN" sz="1200">
              <a:solidFill>
                <a:schemeClr val="tx1"/>
              </a:solidFill>
            </a:rPr>
            <a:t>	 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MONTH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</a:p>
        <a:p>
          <a:pPr algn="l"/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	             To extract the month number from joining date for anniversary tracking</a:t>
          </a:r>
        </a:p>
        <a:p>
          <a:pPr algn="l"/>
          <a:r>
            <a:rPr lang="en-IN" sz="1200">
              <a:solidFill>
                <a:schemeClr val="tx1"/>
              </a:solidFill>
            </a:rPr>
            <a:t>	 </a:t>
          </a:r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LEFT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en-IN" sz="1200">
              <a:solidFill>
                <a:schemeClr val="tx1"/>
              </a:solidFill>
            </a:rPr>
            <a:t>              	            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derive</a:t>
          </a:r>
          <a:r>
            <a:rPr lang="en-IN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department codes from names</a:t>
          </a:r>
          <a:endParaRPr lang="en-IN" sz="1200">
            <a:solidFill>
              <a:schemeClr val="tx1"/>
            </a:solidFill>
          </a:endParaRPr>
        </a:p>
        <a:p>
          <a:pPr algn="l"/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TEXTJOIN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IN" sz="1200">
              <a:solidFill>
                <a:schemeClr val="tx1"/>
              </a:solidFill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en-IN" sz="1200">
              <a:solidFill>
                <a:schemeClr val="tx1"/>
              </a:solidFill>
            </a:rPr>
            <a:t>             	            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generate a dynamic</a:t>
          </a:r>
          <a:r>
            <a:rPr lang="en-IN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Employee Summary combining key fields</a:t>
          </a:r>
          <a:r>
            <a:rPr lang="en-IN" sz="1200">
              <a:solidFill>
                <a:schemeClr val="tx1"/>
              </a:solidFill>
            </a:rPr>
            <a:t> 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53.893860763892" createdVersion="8" refreshedVersion="8" minRefreshableVersion="3" recordCount="100" xr:uid="{BD16EF23-9116-4F4E-AC87-C3F8D8DD4936}">
  <cacheSource type="worksheet">
    <worksheetSource ref="A1:C101" sheet="Employee_Dataset"/>
  </cacheSource>
  <cacheFields count="3">
    <cacheField name="Employee ID" numFmtId="0">
      <sharedItems/>
    </cacheField>
    <cacheField name="Name" numFmtId="0">
      <sharedItems/>
    </cacheField>
    <cacheField name="Department" numFmtId="0">
      <sharedItems count="6">
        <s v="Marketing"/>
        <s v="Finance"/>
        <s v="HR"/>
        <s v="IT"/>
        <s v="Support"/>
        <s v="S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MP001"/>
    <s v="Vijay"/>
    <x v="0"/>
  </r>
  <r>
    <s v="EMP002"/>
    <s v="Dinesh"/>
    <x v="1"/>
  </r>
  <r>
    <s v="EMP003"/>
    <s v="Bala"/>
    <x v="2"/>
  </r>
  <r>
    <s v="EMP004"/>
    <s v="Prakash"/>
    <x v="0"/>
  </r>
  <r>
    <s v="EMP005"/>
    <s v="Vimal"/>
    <x v="3"/>
  </r>
  <r>
    <s v="EMP006"/>
    <s v="Saravanan"/>
    <x v="4"/>
  </r>
  <r>
    <s v="EMP007"/>
    <s v="Madhan"/>
    <x v="2"/>
  </r>
  <r>
    <s v="EMP008"/>
    <s v="Vijay"/>
    <x v="3"/>
  </r>
  <r>
    <s v="EMP009"/>
    <s v="Anand"/>
    <x v="3"/>
  </r>
  <r>
    <s v="EMP010"/>
    <s v="Arjun"/>
    <x v="0"/>
  </r>
  <r>
    <s v="EMP011"/>
    <s v="Karthik"/>
    <x v="0"/>
  </r>
  <r>
    <s v="EMP012"/>
    <s v="Arjun"/>
    <x v="0"/>
  </r>
  <r>
    <s v="EMP013"/>
    <s v="Surya"/>
    <x v="3"/>
  </r>
  <r>
    <s v="EMP014"/>
    <s v="Prakash"/>
    <x v="4"/>
  </r>
  <r>
    <s v="EMP015"/>
    <s v="Prakash"/>
    <x v="4"/>
  </r>
  <r>
    <s v="EMP016"/>
    <s v="Manoj"/>
    <x v="2"/>
  </r>
  <r>
    <s v="EMP017"/>
    <s v="Madhan"/>
    <x v="5"/>
  </r>
  <r>
    <s v="EMP018"/>
    <s v="Sanjay"/>
    <x v="3"/>
  </r>
  <r>
    <s v="EMP019"/>
    <s v="Rajesh"/>
    <x v="3"/>
  </r>
  <r>
    <s v="EMP020"/>
    <s v="Naveen"/>
    <x v="4"/>
  </r>
  <r>
    <s v="EMP021"/>
    <s v="Karthik"/>
    <x v="3"/>
  </r>
  <r>
    <s v="EMP022"/>
    <s v="Naveen"/>
    <x v="4"/>
  </r>
  <r>
    <s v="EMP023"/>
    <s v="Ravi"/>
    <x v="3"/>
  </r>
  <r>
    <s v="EMP024"/>
    <s v="Prakash"/>
    <x v="0"/>
  </r>
  <r>
    <s v="EMP025"/>
    <s v="Akash"/>
    <x v="2"/>
  </r>
  <r>
    <s v="EMP026"/>
    <s v="Bala"/>
    <x v="1"/>
  </r>
  <r>
    <s v="EMP027"/>
    <s v="Ravi"/>
    <x v="1"/>
  </r>
  <r>
    <s v="EMP028"/>
    <s v="Manoj"/>
    <x v="1"/>
  </r>
  <r>
    <s v="EMP029"/>
    <s v="Karthik"/>
    <x v="0"/>
  </r>
  <r>
    <s v="EMP030"/>
    <s v="Naveen"/>
    <x v="2"/>
  </r>
  <r>
    <s v="EMP031"/>
    <s v="Surya"/>
    <x v="4"/>
  </r>
  <r>
    <s v="EMP032"/>
    <s v="Dinesh"/>
    <x v="5"/>
  </r>
  <r>
    <s v="EMP033"/>
    <s v="Karthik"/>
    <x v="0"/>
  </r>
  <r>
    <s v="EMP034"/>
    <s v="Gokul"/>
    <x v="1"/>
  </r>
  <r>
    <s v="EMP035"/>
    <s v="Surya"/>
    <x v="0"/>
  </r>
  <r>
    <s v="EMP036"/>
    <s v="Madhan"/>
    <x v="0"/>
  </r>
  <r>
    <s v="EMP037"/>
    <s v="Naveen"/>
    <x v="5"/>
  </r>
  <r>
    <s v="EMP038"/>
    <s v="Ramesh"/>
    <x v="1"/>
  </r>
  <r>
    <s v="EMP039"/>
    <s v="Sanjay"/>
    <x v="0"/>
  </r>
  <r>
    <s v="EMP040"/>
    <s v="Saravanan"/>
    <x v="0"/>
  </r>
  <r>
    <s v="EMP041"/>
    <s v="Madhan"/>
    <x v="1"/>
  </r>
  <r>
    <s v="EMP042"/>
    <s v="Anand"/>
    <x v="3"/>
  </r>
  <r>
    <s v="EMP043"/>
    <s v="Vijay"/>
    <x v="3"/>
  </r>
  <r>
    <s v="EMP044"/>
    <s v="Madhan"/>
    <x v="4"/>
  </r>
  <r>
    <s v="EMP045"/>
    <s v="Vimal"/>
    <x v="3"/>
  </r>
  <r>
    <s v="EMP046"/>
    <s v="Akash"/>
    <x v="4"/>
  </r>
  <r>
    <s v="EMP047"/>
    <s v="Saravanan"/>
    <x v="2"/>
  </r>
  <r>
    <s v="EMP048"/>
    <s v="Karthik"/>
    <x v="2"/>
  </r>
  <r>
    <s v="EMP049"/>
    <s v="Dinesh"/>
    <x v="4"/>
  </r>
  <r>
    <s v="EMP050"/>
    <s v="Ravi"/>
    <x v="0"/>
  </r>
  <r>
    <s v="EMP051"/>
    <s v="Manoj"/>
    <x v="4"/>
  </r>
  <r>
    <s v="EMP052"/>
    <s v="Madhan"/>
    <x v="4"/>
  </r>
  <r>
    <s v="EMP053"/>
    <s v="Surya"/>
    <x v="0"/>
  </r>
  <r>
    <s v="EMP054"/>
    <s v="Madhan"/>
    <x v="0"/>
  </r>
  <r>
    <s v="EMP055"/>
    <s v="Vimal"/>
    <x v="0"/>
  </r>
  <r>
    <s v="EMP056"/>
    <s v="Gokul"/>
    <x v="5"/>
  </r>
  <r>
    <s v="EMP057"/>
    <s v="Bala"/>
    <x v="2"/>
  </r>
  <r>
    <s v="EMP058"/>
    <s v="Kiran"/>
    <x v="3"/>
  </r>
  <r>
    <s v="EMP059"/>
    <s v="Ramesh"/>
    <x v="2"/>
  </r>
  <r>
    <s v="EMP060"/>
    <s v="Anand"/>
    <x v="2"/>
  </r>
  <r>
    <s v="EMP061"/>
    <s v="Ravi"/>
    <x v="0"/>
  </r>
  <r>
    <s v="EMP062"/>
    <s v="Karthik"/>
    <x v="4"/>
  </r>
  <r>
    <s v="EMP063"/>
    <s v="Karthik"/>
    <x v="0"/>
  </r>
  <r>
    <s v="EMP064"/>
    <s v="Rajesh"/>
    <x v="2"/>
  </r>
  <r>
    <s v="EMP065"/>
    <s v="Bala"/>
    <x v="4"/>
  </r>
  <r>
    <s v="EMP066"/>
    <s v="Karthik"/>
    <x v="5"/>
  </r>
  <r>
    <s v="EMP067"/>
    <s v="Akash"/>
    <x v="3"/>
  </r>
  <r>
    <s v="EMP068"/>
    <s v="Manoj"/>
    <x v="4"/>
  </r>
  <r>
    <s v="EMP069"/>
    <s v="Vimal"/>
    <x v="5"/>
  </r>
  <r>
    <s v="EMP070"/>
    <s v="Bala"/>
    <x v="5"/>
  </r>
  <r>
    <s v="EMP071"/>
    <s v="Arjun"/>
    <x v="2"/>
  </r>
  <r>
    <s v="EMP072"/>
    <s v="Madhan"/>
    <x v="0"/>
  </r>
  <r>
    <s v="EMP073"/>
    <s v="Dinesh"/>
    <x v="4"/>
  </r>
  <r>
    <s v="EMP074"/>
    <s v="Ramesh"/>
    <x v="2"/>
  </r>
  <r>
    <s v="EMP075"/>
    <s v="Akash"/>
    <x v="5"/>
  </r>
  <r>
    <s v="EMP076"/>
    <s v="Vijay"/>
    <x v="5"/>
  </r>
  <r>
    <s v="EMP077"/>
    <s v="Saravanan"/>
    <x v="5"/>
  </r>
  <r>
    <s v="EMP078"/>
    <s v="Ramesh"/>
    <x v="5"/>
  </r>
  <r>
    <s v="EMP079"/>
    <s v="Madhan"/>
    <x v="3"/>
  </r>
  <r>
    <s v="EMP080"/>
    <s v="Naveen"/>
    <x v="2"/>
  </r>
  <r>
    <s v="EMP081"/>
    <s v="Dinesh"/>
    <x v="3"/>
  </r>
  <r>
    <s v="EMP082"/>
    <s v="Anand"/>
    <x v="5"/>
  </r>
  <r>
    <s v="EMP083"/>
    <s v="Prakash"/>
    <x v="0"/>
  </r>
  <r>
    <s v="EMP084"/>
    <s v="Manoj"/>
    <x v="1"/>
  </r>
  <r>
    <s v="EMP085"/>
    <s v="Karthik"/>
    <x v="4"/>
  </r>
  <r>
    <s v="EMP086"/>
    <s v="Prakash"/>
    <x v="5"/>
  </r>
  <r>
    <s v="EMP087"/>
    <s v="Prakash"/>
    <x v="1"/>
  </r>
  <r>
    <s v="EMP088"/>
    <s v="Ramesh"/>
    <x v="1"/>
  </r>
  <r>
    <s v="EMP089"/>
    <s v="Ravi"/>
    <x v="3"/>
  </r>
  <r>
    <s v="EMP090"/>
    <s v="Arjun"/>
    <x v="4"/>
  </r>
  <r>
    <s v="EMP091"/>
    <s v="Karthik"/>
    <x v="1"/>
  </r>
  <r>
    <s v="EMP092"/>
    <s v="Kiran"/>
    <x v="0"/>
  </r>
  <r>
    <s v="EMP093"/>
    <s v="Kiran"/>
    <x v="4"/>
  </r>
  <r>
    <s v="EMP094"/>
    <s v="Akash"/>
    <x v="0"/>
  </r>
  <r>
    <s v="EMP095"/>
    <s v="Ravi"/>
    <x v="3"/>
  </r>
  <r>
    <s v="EMP096"/>
    <s v="Prakash"/>
    <x v="2"/>
  </r>
  <r>
    <s v="EMP097"/>
    <s v="Bala"/>
    <x v="0"/>
  </r>
  <r>
    <s v="EMP098"/>
    <s v="Gokul"/>
    <x v="0"/>
  </r>
  <r>
    <s v="EMP099"/>
    <s v="Bala"/>
    <x v="5"/>
  </r>
  <r>
    <s v="EMP100"/>
    <s v="Karthik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4883C-D659-45C0-92A6-FC97EF6EB6D9}" name="PivotTable6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8" firstHeaderRow="1" firstDataRow="1" firstDataCol="1"/>
  <pivotFields count="3">
    <pivotField dataField="1" compact="0" outline="0" showAll="0"/>
    <pivotField compact="0" outline="0" showAll="0"/>
    <pivotField axis="axisRow" compact="0" outline="0" showAll="0" sortType="descending">
      <items count="7">
        <item x="4"/>
        <item x="5"/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2"/>
    </i>
    <i>
      <x/>
    </i>
    <i>
      <x v="3"/>
    </i>
    <i>
      <x v="4"/>
    </i>
    <i>
      <x v="1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2D1F9-A971-4797-BBCA-F7E4AAC61EAA}" name="Table1" displayName="Table1" ref="A1:B7" totalsRowShown="0" headerRowDxfId="5" headerRowBorderDxfId="3" tableBorderDxfId="4" totalsRowBorderDxfId="2">
  <autoFilter ref="A1:B7" xr:uid="{2AC2D1F9-A971-4797-BBCA-F7E4AAC61EAA}"/>
  <tableColumns count="2">
    <tableColumn id="1" xr3:uid="{60818EA8-F17B-4553-953D-8913FAA94965}" name="Department" dataDxfId="1"/>
    <tableColumn id="2" xr3:uid="{99F15E6B-50AF-4AB6-BB3F-FBC63AA57D3D}" name="Bonus %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0F02-E5C1-4682-A86A-D451BCA5E949}">
  <dimension ref="A1:N34"/>
  <sheetViews>
    <sheetView tabSelected="1" zoomScale="82" workbookViewId="0">
      <selection activeCell="B13" sqref="B13"/>
    </sheetView>
  </sheetViews>
  <sheetFormatPr defaultRowHeight="15"/>
  <cols>
    <col min="3" max="3" width="9.140625" bestFit="1" customWidth="1"/>
    <col min="5" max="5" width="21.140625" customWidth="1"/>
    <col min="6" max="6" width="18.7109375" customWidth="1"/>
    <col min="7" max="7" width="16.42578125" customWidth="1"/>
    <col min="8" max="9" width="20.85546875" customWidth="1"/>
    <col min="17" max="18" width="9.140625" bestFit="1" customWidth="1"/>
  </cols>
  <sheetData>
    <row r="1" spans="1:14" ht="22.5" customHeight="1">
      <c r="A1" s="26"/>
      <c r="B1" s="26"/>
      <c r="C1" s="27" t="s">
        <v>0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"/>
    </row>
    <row r="2" spans="1:14" ht="22.5" customHeight="1">
      <c r="A2" s="2"/>
      <c r="B2" s="2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 ht="18.75">
      <c r="A4" s="5"/>
    </row>
    <row r="5" spans="1:14"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" customHeight="1">
      <c r="E6" s="3"/>
      <c r="F6" s="3"/>
      <c r="G6" s="3"/>
      <c r="H6" s="3"/>
      <c r="I6" s="3"/>
      <c r="J6" s="3"/>
      <c r="K6" s="3"/>
      <c r="L6" s="3"/>
      <c r="M6" s="3"/>
      <c r="N6" s="3"/>
    </row>
    <row r="20" spans="6:6" ht="15" customHeight="1"/>
    <row r="32" spans="6:6">
      <c r="F32" s="2"/>
    </row>
    <row r="33" spans="3:9" ht="18.75">
      <c r="C33" s="25"/>
      <c r="D33" s="25"/>
      <c r="E33" s="25"/>
    </row>
    <row r="34" spans="3:9">
      <c r="C34" s="1"/>
      <c r="D34" s="1"/>
      <c r="F34" s="1"/>
      <c r="G34" s="1"/>
      <c r="H34" s="1"/>
      <c r="I34" s="1"/>
    </row>
  </sheetData>
  <mergeCells count="1">
    <mergeCell ref="C1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FA3C-17B6-480A-99A8-11C9F48D5444}">
  <dimension ref="A1:S101"/>
  <sheetViews>
    <sheetView topLeftCell="D1" workbookViewId="0">
      <pane ySplit="2" topLeftCell="D3" activePane="bottomLeft" state="frozen"/>
      <selection pane="bottomLeft" activeCell="N1" sqref="N1"/>
      <selection activeCell="N1" sqref="N1"/>
    </sheetView>
  </sheetViews>
  <sheetFormatPr defaultRowHeight="15"/>
  <cols>
    <col min="1" max="1" width="12.140625" customWidth="1"/>
    <col min="3" max="3" width="11.85546875" customWidth="1"/>
    <col min="4" max="4" width="14.140625" customWidth="1"/>
    <col min="5" max="5" width="11" customWidth="1"/>
    <col min="6" max="6" width="10" customWidth="1"/>
    <col min="7" max="7" width="10.28515625" customWidth="1"/>
    <col min="8" max="8" width="13.7109375" bestFit="1" customWidth="1"/>
    <col min="9" max="9" width="11" bestFit="1" customWidth="1"/>
    <col min="11" max="11" width="11.28515625" customWidth="1"/>
    <col min="12" max="12" width="18.140625" customWidth="1"/>
    <col min="13" max="13" width="19.7109375" customWidth="1"/>
    <col min="14" max="14" width="10.28515625" customWidth="1"/>
    <col min="15" max="15" width="14.42578125" customWidth="1"/>
    <col min="16" max="16" width="12" customWidth="1"/>
    <col min="17" max="17" width="17.7109375" customWidth="1"/>
    <col min="18" max="18" width="16.7109375" customWidth="1"/>
    <col min="19" max="19" width="51.7109375" customWidth="1"/>
    <col min="20" max="20" width="28.7109375" customWidth="1"/>
  </cols>
  <sheetData>
    <row r="1" spans="1:19">
      <c r="A1" s="8" t="s">
        <v>1</v>
      </c>
      <c r="B1" s="8" t="s">
        <v>2</v>
      </c>
      <c r="C1" s="8" t="s">
        <v>3</v>
      </c>
      <c r="D1" s="9" t="s">
        <v>4</v>
      </c>
      <c r="E1" s="8" t="s">
        <v>5</v>
      </c>
      <c r="F1" s="8" t="s">
        <v>6</v>
      </c>
      <c r="G1" s="11" t="s">
        <v>7</v>
      </c>
      <c r="H1" s="10" t="s">
        <v>8</v>
      </c>
      <c r="I1" s="10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0" t="s">
        <v>14</v>
      </c>
      <c r="O1" s="10" t="s">
        <v>15</v>
      </c>
      <c r="P1" s="11" t="s">
        <v>16</v>
      </c>
      <c r="Q1" s="10" t="s">
        <v>17</v>
      </c>
      <c r="R1" s="10" t="s">
        <v>18</v>
      </c>
      <c r="S1" s="7" t="s">
        <v>19</v>
      </c>
    </row>
    <row r="2" spans="1:19">
      <c r="A2" s="12" t="s">
        <v>20</v>
      </c>
      <c r="B2" s="13" t="s">
        <v>21</v>
      </c>
      <c r="C2" s="13" t="s">
        <v>22</v>
      </c>
      <c r="D2" s="12" t="s">
        <v>23</v>
      </c>
      <c r="E2" s="15">
        <v>32671</v>
      </c>
      <c r="F2" s="13" t="s">
        <v>24</v>
      </c>
      <c r="G2" s="12" cm="1">
        <f t="array" ref="G2:G101">VLOOKUP(Employee_Dataset!C2:C101,'Bonus Table'!A2:B7,2,FALSE)</f>
        <v>0.09</v>
      </c>
      <c r="H2" s="15">
        <f t="shared" ref="H2:H33" si="0">E2*G2</f>
        <v>2940.39</v>
      </c>
      <c r="I2" s="15">
        <f t="shared" ref="I2:I33" si="1">E2+H2</f>
        <v>35611.39</v>
      </c>
      <c r="J2" s="13" t="str">
        <f t="shared" ref="J2:J33" si="2">IF(I2&gt;=25000,"Active","Probation")</f>
        <v>Active</v>
      </c>
      <c r="K2" s="16">
        <f>IFERROR(DATEVALUE(D2),"")</f>
        <v>45349</v>
      </c>
      <c r="L2" s="12">
        <f ca="1">DATEDIF(K2,TODAY(),"Y")</f>
        <v>1</v>
      </c>
      <c r="M2" s="12" t="str" cm="1">
        <f t="array" ref="M2:M101">TEXT(K2:K101,"mmmm")</f>
        <v>February</v>
      </c>
      <c r="N2" s="13" t="str" cm="1">
        <f t="array" ref="N2:N101">IF(H2:H101&gt;5000,"High Bonus","")</f>
        <v/>
      </c>
      <c r="O2" s="12" t="str" cm="1">
        <f t="array" ref="O2:O101">IF(I2:I101&gt;=60000,"Top Earner",IF(I2:I101&gt;=40000,"Mid Earner","Low Earner"))</f>
        <v>Low Earner</v>
      </c>
      <c r="P2" s="13" t="str">
        <f ca="1">IF(AND(J2="Active",G2&gt;0.1,L2&gt;=3),"Eligible","Not Eligible")</f>
        <v>Not Eligible</v>
      </c>
      <c r="Q2" s="12" t="str">
        <f ca="1">IF(M2=TEXT(TODAY(),"mmmm"),"Yes","No")</f>
        <v>No</v>
      </c>
      <c r="R2" s="12" t="str" cm="1">
        <f t="array" ref="R2:R101">LEFT(C2:C101,2)</f>
        <v>Ma</v>
      </c>
      <c r="S2" s="13" t="str">
        <f>_xlfn.TEXTJOIN(",",TRUE,A2,B2,C2,"Salary -"&amp;ROUND(I2,2),J2)</f>
        <v>EMP001,Vijay,Marketing,Salary -35611.39,Active</v>
      </c>
    </row>
    <row r="3" spans="1:19">
      <c r="A3" s="12" t="s">
        <v>25</v>
      </c>
      <c r="B3" s="13" t="s">
        <v>26</v>
      </c>
      <c r="C3" s="13" t="s">
        <v>27</v>
      </c>
      <c r="D3" s="12" t="s">
        <v>28</v>
      </c>
      <c r="E3" s="15">
        <v>48627</v>
      </c>
      <c r="F3" s="13" t="s">
        <v>24</v>
      </c>
      <c r="G3" s="12">
        <v>0.1</v>
      </c>
      <c r="H3" s="15">
        <f t="shared" si="0"/>
        <v>4862.7</v>
      </c>
      <c r="I3" s="15">
        <f t="shared" si="1"/>
        <v>53489.7</v>
      </c>
      <c r="J3" s="13" t="str">
        <f t="shared" si="2"/>
        <v>Active</v>
      </c>
      <c r="K3" s="16">
        <f t="shared" ref="K3:K64" si="3">IFERROR(DATEVALUE(D3),"")</f>
        <v>45339</v>
      </c>
      <c r="L3" s="12">
        <f t="shared" ref="L3:L66" ca="1" si="4">DATEDIF(K3,TODAY(),"Y")</f>
        <v>1</v>
      </c>
      <c r="M3" s="12" t="str">
        <v>February</v>
      </c>
      <c r="N3" s="13" t="str">
        <v/>
      </c>
      <c r="O3" s="12" t="str">
        <v>Mid Earner</v>
      </c>
      <c r="P3" s="13" t="str">
        <f t="shared" ref="P3:P66" ca="1" si="5">IF(AND(J3="Active",G3&gt;0.1,L3&gt;=3),"Eligible","Not Eligible")</f>
        <v>Not Eligible</v>
      </c>
      <c r="Q3" s="12" t="str">
        <f t="shared" ref="Q3:Q66" ca="1" si="6">IF(M3=TEXT(TODAY(),"mmmm"),"Yes","No")</f>
        <v>No</v>
      </c>
      <c r="R3" s="14" t="str">
        <v>Fi</v>
      </c>
      <c r="S3" s="13" t="str">
        <f t="shared" ref="S3:S66" si="7">_xlfn.TEXTJOIN(",",TRUE,A3,B3,C3,"Salary -"&amp;ROUND(I3,2),J3)</f>
        <v>EMP002,Dinesh,Finance,Salary -53489.7,Active</v>
      </c>
    </row>
    <row r="4" spans="1:19">
      <c r="A4" s="12" t="s">
        <v>29</v>
      </c>
      <c r="B4" s="13" t="s">
        <v>30</v>
      </c>
      <c r="C4" s="13" t="s">
        <v>31</v>
      </c>
      <c r="D4" s="12" t="s">
        <v>32</v>
      </c>
      <c r="E4" s="15">
        <v>47891</v>
      </c>
      <c r="F4" s="13" t="s">
        <v>33</v>
      </c>
      <c r="G4" s="12">
        <v>0.08</v>
      </c>
      <c r="H4" s="15">
        <f t="shared" si="0"/>
        <v>3831.28</v>
      </c>
      <c r="I4" s="15">
        <f t="shared" si="1"/>
        <v>51722.28</v>
      </c>
      <c r="J4" s="13" t="str">
        <f t="shared" si="2"/>
        <v>Active</v>
      </c>
      <c r="K4" s="16">
        <f t="shared" si="3"/>
        <v>45040</v>
      </c>
      <c r="L4" s="12">
        <f t="shared" ca="1" si="4"/>
        <v>2</v>
      </c>
      <c r="M4" s="12" t="str">
        <v>April</v>
      </c>
      <c r="N4" s="13" t="str">
        <v/>
      </c>
      <c r="O4" s="12" t="str">
        <v>Mid Earner</v>
      </c>
      <c r="P4" s="13" t="str">
        <f t="shared" ca="1" si="5"/>
        <v>Not Eligible</v>
      </c>
      <c r="Q4" s="12" t="str">
        <f t="shared" ca="1" si="6"/>
        <v>No</v>
      </c>
      <c r="R4" s="12" t="str">
        <v>HR</v>
      </c>
      <c r="S4" s="13" t="str">
        <f t="shared" si="7"/>
        <v>EMP003,Bala,HR,Salary -51722.28,Active</v>
      </c>
    </row>
    <row r="5" spans="1:19">
      <c r="A5" s="12" t="s">
        <v>34</v>
      </c>
      <c r="B5" s="13" t="s">
        <v>35</v>
      </c>
      <c r="C5" s="13" t="s">
        <v>22</v>
      </c>
      <c r="D5" s="12" t="s">
        <v>36</v>
      </c>
      <c r="E5" s="15">
        <v>43575</v>
      </c>
      <c r="F5" s="13" t="s">
        <v>33</v>
      </c>
      <c r="G5" s="12">
        <v>0.09</v>
      </c>
      <c r="H5" s="15">
        <f t="shared" si="0"/>
        <v>3921.75</v>
      </c>
      <c r="I5" s="15">
        <f t="shared" si="1"/>
        <v>47496.75</v>
      </c>
      <c r="J5" s="13" t="str">
        <f t="shared" si="2"/>
        <v>Active</v>
      </c>
      <c r="K5" s="16">
        <f t="shared" si="3"/>
        <v>44278</v>
      </c>
      <c r="L5" s="12">
        <f t="shared" ca="1" si="4"/>
        <v>4</v>
      </c>
      <c r="M5" s="12" t="str">
        <v>March</v>
      </c>
      <c r="N5" s="13" t="str">
        <v/>
      </c>
      <c r="O5" s="12" t="str">
        <v>Mid Earner</v>
      </c>
      <c r="P5" s="13" t="str">
        <f t="shared" ca="1" si="5"/>
        <v>Not Eligible</v>
      </c>
      <c r="Q5" s="12" t="str">
        <f t="shared" ca="1" si="6"/>
        <v>No</v>
      </c>
      <c r="R5" s="12" t="str">
        <v>Ma</v>
      </c>
      <c r="S5" s="13" t="str">
        <f t="shared" si="7"/>
        <v>EMP004,Prakash,Marketing,Salary -47496.75,Active</v>
      </c>
    </row>
    <row r="6" spans="1:19">
      <c r="A6" s="12" t="s">
        <v>37</v>
      </c>
      <c r="B6" s="13" t="s">
        <v>38</v>
      </c>
      <c r="C6" s="13" t="s">
        <v>39</v>
      </c>
      <c r="D6" s="12" t="s">
        <v>40</v>
      </c>
      <c r="E6" s="15">
        <v>32493</v>
      </c>
      <c r="F6" s="13" t="s">
        <v>41</v>
      </c>
      <c r="G6" s="12">
        <v>0.12</v>
      </c>
      <c r="H6" s="15">
        <f t="shared" si="0"/>
        <v>3899.16</v>
      </c>
      <c r="I6" s="15">
        <f t="shared" si="1"/>
        <v>36392.160000000003</v>
      </c>
      <c r="J6" s="13" t="str">
        <f t="shared" si="2"/>
        <v>Active</v>
      </c>
      <c r="K6" s="16">
        <f t="shared" si="3"/>
        <v>44980</v>
      </c>
      <c r="L6" s="12">
        <f t="shared" ca="1" si="4"/>
        <v>2</v>
      </c>
      <c r="M6" s="12" t="str">
        <v>February</v>
      </c>
      <c r="N6" s="13" t="str">
        <v/>
      </c>
      <c r="O6" s="12" t="str">
        <v>Low Earner</v>
      </c>
      <c r="P6" s="13" t="str">
        <f t="shared" ca="1" si="5"/>
        <v>Not Eligible</v>
      </c>
      <c r="Q6" s="12" t="str">
        <f t="shared" ca="1" si="6"/>
        <v>No</v>
      </c>
      <c r="R6" s="12" t="str">
        <v>IT</v>
      </c>
      <c r="S6" s="13" t="str">
        <f t="shared" si="7"/>
        <v>EMP005,Vimal,IT,Salary -36392.16,Active</v>
      </c>
    </row>
    <row r="7" spans="1:19">
      <c r="A7" s="12" t="s">
        <v>42</v>
      </c>
      <c r="B7" s="13" t="s">
        <v>43</v>
      </c>
      <c r="C7" s="13" t="s">
        <v>44</v>
      </c>
      <c r="D7" s="12" t="s">
        <v>45</v>
      </c>
      <c r="E7" s="15">
        <v>58259</v>
      </c>
      <c r="F7" s="13" t="s">
        <v>33</v>
      </c>
      <c r="G7" s="12">
        <v>7.0000000000000007E-2</v>
      </c>
      <c r="H7" s="15">
        <f t="shared" si="0"/>
        <v>4078.1300000000006</v>
      </c>
      <c r="I7" s="15">
        <f t="shared" si="1"/>
        <v>62337.13</v>
      </c>
      <c r="J7" s="13" t="str">
        <f t="shared" si="2"/>
        <v>Active</v>
      </c>
      <c r="K7" s="16">
        <f t="shared" si="3"/>
        <v>44282</v>
      </c>
      <c r="L7" s="12">
        <f t="shared" ca="1" si="4"/>
        <v>4</v>
      </c>
      <c r="M7" s="12" t="str">
        <v>March</v>
      </c>
      <c r="N7" s="13" t="str">
        <v/>
      </c>
      <c r="O7" s="12" t="str">
        <v>Top Earner</v>
      </c>
      <c r="P7" s="13" t="str">
        <f t="shared" ca="1" si="5"/>
        <v>Not Eligible</v>
      </c>
      <c r="Q7" s="12" t="str">
        <f t="shared" ca="1" si="6"/>
        <v>No</v>
      </c>
      <c r="R7" s="12" t="str">
        <v>Su</v>
      </c>
      <c r="S7" s="13" t="str">
        <f t="shared" si="7"/>
        <v>EMP006,Saravanan,Support,Salary -62337.13,Active</v>
      </c>
    </row>
    <row r="8" spans="1:19">
      <c r="A8" s="12" t="s">
        <v>46</v>
      </c>
      <c r="B8" s="13" t="s">
        <v>47</v>
      </c>
      <c r="C8" s="13" t="s">
        <v>31</v>
      </c>
      <c r="D8" s="16">
        <v>45355</v>
      </c>
      <c r="E8" s="15">
        <v>36550</v>
      </c>
      <c r="F8" s="13" t="s">
        <v>48</v>
      </c>
      <c r="G8" s="12">
        <v>0.08</v>
      </c>
      <c r="H8" s="15">
        <f t="shared" si="0"/>
        <v>2924</v>
      </c>
      <c r="I8" s="15">
        <f t="shared" si="1"/>
        <v>39474</v>
      </c>
      <c r="J8" s="13" t="str">
        <f t="shared" si="2"/>
        <v>Active</v>
      </c>
      <c r="K8" s="16">
        <v>45355</v>
      </c>
      <c r="L8" s="12">
        <f t="shared" ca="1" si="4"/>
        <v>1</v>
      </c>
      <c r="M8" s="12" t="str">
        <v>March</v>
      </c>
      <c r="N8" s="13" t="str">
        <v/>
      </c>
      <c r="O8" s="12" t="str">
        <v>Low Earner</v>
      </c>
      <c r="P8" s="13" t="str">
        <f t="shared" ca="1" si="5"/>
        <v>Not Eligible</v>
      </c>
      <c r="Q8" s="12" t="str">
        <f t="shared" ca="1" si="6"/>
        <v>No</v>
      </c>
      <c r="R8" s="12" t="str">
        <v>HR</v>
      </c>
      <c r="S8" s="13" t="str">
        <f t="shared" si="7"/>
        <v>EMP007,Madhan,HR,Salary -39474,Active</v>
      </c>
    </row>
    <row r="9" spans="1:19">
      <c r="A9" s="12" t="s">
        <v>49</v>
      </c>
      <c r="B9" s="13" t="s">
        <v>21</v>
      </c>
      <c r="C9" s="13" t="s">
        <v>39</v>
      </c>
      <c r="D9" s="12" t="s">
        <v>50</v>
      </c>
      <c r="E9" s="15">
        <v>46605</v>
      </c>
      <c r="F9" s="13" t="s">
        <v>48</v>
      </c>
      <c r="G9" s="12">
        <v>0.12</v>
      </c>
      <c r="H9" s="15">
        <f t="shared" si="0"/>
        <v>5592.5999999999995</v>
      </c>
      <c r="I9" s="15">
        <f t="shared" si="1"/>
        <v>52197.599999999999</v>
      </c>
      <c r="J9" s="13" t="str">
        <f t="shared" si="2"/>
        <v>Active</v>
      </c>
      <c r="K9" s="16">
        <f t="shared" si="3"/>
        <v>44400</v>
      </c>
      <c r="L9" s="12">
        <f t="shared" ca="1" si="4"/>
        <v>4</v>
      </c>
      <c r="M9" s="12" t="str">
        <v>July</v>
      </c>
      <c r="N9" s="13" t="str">
        <v>High Bonus</v>
      </c>
      <c r="O9" s="12" t="str">
        <v>Mid Earner</v>
      </c>
      <c r="P9" s="13" t="str">
        <f t="shared" ca="1" si="5"/>
        <v>Eligible</v>
      </c>
      <c r="Q9" s="12" t="str">
        <f t="shared" ca="1" si="6"/>
        <v>No</v>
      </c>
      <c r="R9" s="12" t="str">
        <v>IT</v>
      </c>
      <c r="S9" s="13" t="str">
        <f t="shared" si="7"/>
        <v>EMP008,Vijay,IT,Salary -52197.6,Active</v>
      </c>
    </row>
    <row r="10" spans="1:19">
      <c r="A10" s="12" t="s">
        <v>51</v>
      </c>
      <c r="B10" s="13" t="s">
        <v>52</v>
      </c>
      <c r="C10" s="13" t="s">
        <v>39</v>
      </c>
      <c r="D10" s="16">
        <v>44050</v>
      </c>
      <c r="E10" s="15">
        <v>25420</v>
      </c>
      <c r="F10" s="13" t="s">
        <v>48</v>
      </c>
      <c r="G10" s="12">
        <v>0.12</v>
      </c>
      <c r="H10" s="15">
        <f t="shared" si="0"/>
        <v>3050.4</v>
      </c>
      <c r="I10" s="15">
        <f t="shared" si="1"/>
        <v>28470.400000000001</v>
      </c>
      <c r="J10" s="13" t="str">
        <f t="shared" si="2"/>
        <v>Active</v>
      </c>
      <c r="K10" s="16">
        <v>44050</v>
      </c>
      <c r="L10" s="12">
        <f t="shared" ca="1" si="4"/>
        <v>5</v>
      </c>
      <c r="M10" s="12" t="str">
        <v>August</v>
      </c>
      <c r="N10" s="13" t="str">
        <v/>
      </c>
      <c r="O10" s="12" t="str">
        <v>Low Earner</v>
      </c>
      <c r="P10" s="13" t="str">
        <f t="shared" ca="1" si="5"/>
        <v>Eligible</v>
      </c>
      <c r="Q10" s="12" t="str">
        <f t="shared" ca="1" si="6"/>
        <v>No</v>
      </c>
      <c r="R10" s="12" t="str">
        <v>IT</v>
      </c>
      <c r="S10" s="13" t="str">
        <f t="shared" si="7"/>
        <v>EMP009,Anand,IT,Salary -28470.4,Active</v>
      </c>
    </row>
    <row r="11" spans="1:19">
      <c r="A11" s="12" t="s">
        <v>53</v>
      </c>
      <c r="B11" s="13" t="s">
        <v>54</v>
      </c>
      <c r="C11" s="13" t="s">
        <v>22</v>
      </c>
      <c r="D11" s="12" t="s">
        <v>55</v>
      </c>
      <c r="E11" s="15">
        <v>58346</v>
      </c>
      <c r="F11" s="13" t="s">
        <v>33</v>
      </c>
      <c r="G11" s="12">
        <v>0.09</v>
      </c>
      <c r="H11" s="15">
        <f t="shared" si="0"/>
        <v>5251.1399999999994</v>
      </c>
      <c r="I11" s="15">
        <f t="shared" si="1"/>
        <v>63597.14</v>
      </c>
      <c r="J11" s="13" t="str">
        <f t="shared" si="2"/>
        <v>Active</v>
      </c>
      <c r="K11" s="16">
        <f t="shared" si="3"/>
        <v>45067</v>
      </c>
      <c r="L11" s="12">
        <f t="shared" ca="1" si="4"/>
        <v>2</v>
      </c>
      <c r="M11" s="12" t="str">
        <v>May</v>
      </c>
      <c r="N11" s="13" t="str">
        <v>High Bonus</v>
      </c>
      <c r="O11" s="12" t="str">
        <v>Top Earner</v>
      </c>
      <c r="P11" s="13" t="str">
        <f t="shared" ca="1" si="5"/>
        <v>Not Eligible</v>
      </c>
      <c r="Q11" s="12" t="str">
        <f t="shared" ca="1" si="6"/>
        <v>No</v>
      </c>
      <c r="R11" s="12" t="str">
        <v>Ma</v>
      </c>
      <c r="S11" s="13" t="str">
        <f t="shared" si="7"/>
        <v>EMP010,Arjun,Marketing,Salary -63597.14,Active</v>
      </c>
    </row>
    <row r="12" spans="1:19">
      <c r="A12" s="12" t="s">
        <v>56</v>
      </c>
      <c r="B12" s="13" t="s">
        <v>57</v>
      </c>
      <c r="C12" s="13" t="s">
        <v>22</v>
      </c>
      <c r="D12" s="16">
        <v>44174</v>
      </c>
      <c r="E12" s="15">
        <v>41851</v>
      </c>
      <c r="F12" s="13" t="s">
        <v>33</v>
      </c>
      <c r="G12" s="12">
        <v>0.09</v>
      </c>
      <c r="H12" s="15">
        <f t="shared" si="0"/>
        <v>3766.5899999999997</v>
      </c>
      <c r="I12" s="15">
        <f t="shared" si="1"/>
        <v>45617.59</v>
      </c>
      <c r="J12" s="13" t="str">
        <f t="shared" si="2"/>
        <v>Active</v>
      </c>
      <c r="K12" s="16">
        <v>44174</v>
      </c>
      <c r="L12" s="12">
        <f t="shared" ca="1" si="4"/>
        <v>5</v>
      </c>
      <c r="M12" s="12" t="str">
        <v>December</v>
      </c>
      <c r="N12" s="13" t="str">
        <v/>
      </c>
      <c r="O12" s="12" t="str">
        <v>Mid Earner</v>
      </c>
      <c r="P12" s="13" t="str">
        <f t="shared" ca="1" si="5"/>
        <v>Not Eligible</v>
      </c>
      <c r="Q12" s="12" t="str">
        <f t="shared" ca="1" si="6"/>
        <v>Yes</v>
      </c>
      <c r="R12" s="12" t="str">
        <v>Ma</v>
      </c>
      <c r="S12" s="13" t="str">
        <f t="shared" si="7"/>
        <v>EMP011,Karthik,Marketing,Salary -45617.59,Active</v>
      </c>
    </row>
    <row r="13" spans="1:19">
      <c r="A13" s="12" t="s">
        <v>58</v>
      </c>
      <c r="B13" s="13" t="s">
        <v>54</v>
      </c>
      <c r="C13" s="13" t="s">
        <v>22</v>
      </c>
      <c r="D13" s="12" t="s">
        <v>59</v>
      </c>
      <c r="E13" s="15">
        <v>52597</v>
      </c>
      <c r="F13" s="13" t="s">
        <v>48</v>
      </c>
      <c r="G13" s="12">
        <v>0.09</v>
      </c>
      <c r="H13" s="15">
        <f t="shared" si="0"/>
        <v>4733.7299999999996</v>
      </c>
      <c r="I13" s="15">
        <f t="shared" si="1"/>
        <v>57330.729999999996</v>
      </c>
      <c r="J13" s="13" t="str">
        <f t="shared" si="2"/>
        <v>Active</v>
      </c>
      <c r="K13" s="16">
        <f t="shared" si="3"/>
        <v>45529</v>
      </c>
      <c r="L13" s="12">
        <f t="shared" ca="1" si="4"/>
        <v>1</v>
      </c>
      <c r="M13" s="12" t="str">
        <v>August</v>
      </c>
      <c r="N13" s="13" t="str">
        <v/>
      </c>
      <c r="O13" s="12" t="str">
        <v>Mid Earner</v>
      </c>
      <c r="P13" s="13" t="str">
        <f t="shared" ca="1" si="5"/>
        <v>Not Eligible</v>
      </c>
      <c r="Q13" s="12" t="str">
        <f t="shared" ca="1" si="6"/>
        <v>No</v>
      </c>
      <c r="R13" s="12" t="str">
        <v>Ma</v>
      </c>
      <c r="S13" s="13" t="str">
        <f t="shared" si="7"/>
        <v>EMP012,Arjun,Marketing,Salary -57330.73,Active</v>
      </c>
    </row>
    <row r="14" spans="1:19">
      <c r="A14" s="12" t="s">
        <v>60</v>
      </c>
      <c r="B14" s="13" t="s">
        <v>61</v>
      </c>
      <c r="C14" s="13" t="s">
        <v>39</v>
      </c>
      <c r="D14" s="12" t="s">
        <v>62</v>
      </c>
      <c r="E14" s="15">
        <v>21202</v>
      </c>
      <c r="F14" s="13" t="s">
        <v>33</v>
      </c>
      <c r="G14" s="12">
        <v>0.12</v>
      </c>
      <c r="H14" s="15">
        <f t="shared" si="0"/>
        <v>2544.2399999999998</v>
      </c>
      <c r="I14" s="15">
        <f t="shared" si="1"/>
        <v>23746.239999999998</v>
      </c>
      <c r="J14" s="13" t="str">
        <f t="shared" si="2"/>
        <v>Probation</v>
      </c>
      <c r="K14" s="16">
        <f t="shared" si="3"/>
        <v>44224</v>
      </c>
      <c r="L14" s="12">
        <f t="shared" ca="1" si="4"/>
        <v>4</v>
      </c>
      <c r="M14" s="12" t="str">
        <v>January</v>
      </c>
      <c r="N14" s="13" t="str">
        <v/>
      </c>
      <c r="O14" s="12" t="str">
        <v>Low Earner</v>
      </c>
      <c r="P14" s="13" t="str">
        <f t="shared" ca="1" si="5"/>
        <v>Not Eligible</v>
      </c>
      <c r="Q14" s="12" t="str">
        <f t="shared" ca="1" si="6"/>
        <v>No</v>
      </c>
      <c r="R14" s="12" t="str">
        <v>IT</v>
      </c>
      <c r="S14" s="13" t="str">
        <f t="shared" si="7"/>
        <v>EMP013,Surya,IT,Salary -23746.24,Probation</v>
      </c>
    </row>
    <row r="15" spans="1:19">
      <c r="A15" s="12" t="s">
        <v>63</v>
      </c>
      <c r="B15" s="13" t="s">
        <v>35</v>
      </c>
      <c r="C15" s="13" t="s">
        <v>44</v>
      </c>
      <c r="D15" s="16">
        <v>44504</v>
      </c>
      <c r="E15" s="15">
        <v>44907</v>
      </c>
      <c r="F15" s="13" t="s">
        <v>24</v>
      </c>
      <c r="G15" s="12">
        <v>7.0000000000000007E-2</v>
      </c>
      <c r="H15" s="15">
        <f t="shared" si="0"/>
        <v>3143.4900000000002</v>
      </c>
      <c r="I15" s="15">
        <f t="shared" si="1"/>
        <v>48050.49</v>
      </c>
      <c r="J15" s="13" t="str">
        <f t="shared" si="2"/>
        <v>Active</v>
      </c>
      <c r="K15" s="16">
        <v>44504</v>
      </c>
      <c r="L15" s="12">
        <f t="shared" ca="1" si="4"/>
        <v>4</v>
      </c>
      <c r="M15" s="12" t="str">
        <v>November</v>
      </c>
      <c r="N15" s="13" t="str">
        <v/>
      </c>
      <c r="O15" s="12" t="str">
        <v>Mid Earner</v>
      </c>
      <c r="P15" s="13" t="str">
        <f t="shared" ca="1" si="5"/>
        <v>Not Eligible</v>
      </c>
      <c r="Q15" s="12" t="str">
        <f t="shared" ca="1" si="6"/>
        <v>No</v>
      </c>
      <c r="R15" s="12" t="str">
        <v>Su</v>
      </c>
      <c r="S15" s="13" t="str">
        <f t="shared" si="7"/>
        <v>EMP014,Prakash,Support,Salary -48050.49,Active</v>
      </c>
    </row>
    <row r="16" spans="1:19">
      <c r="A16" s="12" t="s">
        <v>64</v>
      </c>
      <c r="B16" s="13" t="s">
        <v>35</v>
      </c>
      <c r="C16" s="13" t="s">
        <v>44</v>
      </c>
      <c r="D16" s="12" t="s">
        <v>65</v>
      </c>
      <c r="E16" s="15">
        <v>35128</v>
      </c>
      <c r="F16" s="13" t="s">
        <v>41</v>
      </c>
      <c r="G16" s="12">
        <v>7.0000000000000007E-2</v>
      </c>
      <c r="H16" s="15">
        <f t="shared" si="0"/>
        <v>2458.96</v>
      </c>
      <c r="I16" s="15">
        <f t="shared" si="1"/>
        <v>37586.959999999999</v>
      </c>
      <c r="J16" s="13" t="str">
        <f t="shared" si="2"/>
        <v>Active</v>
      </c>
      <c r="K16" s="16">
        <f t="shared" si="3"/>
        <v>44609</v>
      </c>
      <c r="L16" s="12">
        <f t="shared" ca="1" si="4"/>
        <v>3</v>
      </c>
      <c r="M16" s="12" t="str">
        <v>February</v>
      </c>
      <c r="N16" s="13" t="str">
        <v/>
      </c>
      <c r="O16" s="12" t="str">
        <v>Low Earner</v>
      </c>
      <c r="P16" s="13" t="str">
        <f t="shared" ca="1" si="5"/>
        <v>Not Eligible</v>
      </c>
      <c r="Q16" s="12" t="str">
        <f t="shared" ca="1" si="6"/>
        <v>No</v>
      </c>
      <c r="R16" s="12" t="str">
        <v>Su</v>
      </c>
      <c r="S16" s="13" t="str">
        <f t="shared" si="7"/>
        <v>EMP015,Prakash,Support,Salary -37586.96,Active</v>
      </c>
    </row>
    <row r="17" spans="1:19">
      <c r="A17" s="12" t="s">
        <v>66</v>
      </c>
      <c r="B17" s="13" t="s">
        <v>67</v>
      </c>
      <c r="C17" s="13" t="s">
        <v>31</v>
      </c>
      <c r="D17" s="12" t="s">
        <v>68</v>
      </c>
      <c r="E17" s="15">
        <v>48059</v>
      </c>
      <c r="F17" s="13" t="s">
        <v>69</v>
      </c>
      <c r="G17" s="12">
        <v>0.08</v>
      </c>
      <c r="H17" s="15">
        <f t="shared" si="0"/>
        <v>3844.7200000000003</v>
      </c>
      <c r="I17" s="15">
        <f t="shared" si="1"/>
        <v>51903.72</v>
      </c>
      <c r="J17" s="13" t="str">
        <f t="shared" si="2"/>
        <v>Active</v>
      </c>
      <c r="K17" s="16">
        <f t="shared" si="3"/>
        <v>44589</v>
      </c>
      <c r="L17" s="12">
        <f t="shared" ca="1" si="4"/>
        <v>3</v>
      </c>
      <c r="M17" s="12" t="str">
        <v>January</v>
      </c>
      <c r="N17" s="13" t="str">
        <v/>
      </c>
      <c r="O17" s="12" t="str">
        <v>Mid Earner</v>
      </c>
      <c r="P17" s="13" t="str">
        <f t="shared" ca="1" si="5"/>
        <v>Not Eligible</v>
      </c>
      <c r="Q17" s="12" t="str">
        <f t="shared" ca="1" si="6"/>
        <v>No</v>
      </c>
      <c r="R17" s="12" t="str">
        <v>HR</v>
      </c>
      <c r="S17" s="13" t="str">
        <f t="shared" si="7"/>
        <v>EMP016,Manoj,HR,Salary -51903.72,Active</v>
      </c>
    </row>
    <row r="18" spans="1:19">
      <c r="A18" s="12" t="s">
        <v>70</v>
      </c>
      <c r="B18" s="13" t="s">
        <v>47</v>
      </c>
      <c r="C18" s="13" t="s">
        <v>71</v>
      </c>
      <c r="D18" s="16">
        <v>45692</v>
      </c>
      <c r="E18" s="15">
        <v>29422</v>
      </c>
      <c r="F18" s="13" t="s">
        <v>69</v>
      </c>
      <c r="G18" s="12">
        <v>0.15</v>
      </c>
      <c r="H18" s="15">
        <f t="shared" si="0"/>
        <v>4413.3</v>
      </c>
      <c r="I18" s="15">
        <f t="shared" si="1"/>
        <v>33835.300000000003</v>
      </c>
      <c r="J18" s="13" t="str">
        <f t="shared" si="2"/>
        <v>Active</v>
      </c>
      <c r="K18" s="16">
        <v>45692</v>
      </c>
      <c r="L18" s="12">
        <f t="shared" ca="1" si="4"/>
        <v>0</v>
      </c>
      <c r="M18" s="12" t="str">
        <v>February</v>
      </c>
      <c r="N18" s="13" t="str">
        <v/>
      </c>
      <c r="O18" s="12" t="str">
        <v>Low Earner</v>
      </c>
      <c r="P18" s="13" t="str">
        <f t="shared" ca="1" si="5"/>
        <v>Not Eligible</v>
      </c>
      <c r="Q18" s="12" t="str">
        <f t="shared" ca="1" si="6"/>
        <v>No</v>
      </c>
      <c r="R18" s="12" t="str">
        <v>Sa</v>
      </c>
      <c r="S18" s="13" t="str">
        <f t="shared" si="7"/>
        <v>EMP017,Madhan,Sales,Salary -33835.3,Active</v>
      </c>
    </row>
    <row r="19" spans="1:19">
      <c r="A19" s="12" t="s">
        <v>72</v>
      </c>
      <c r="B19" s="13" t="s">
        <v>73</v>
      </c>
      <c r="C19" s="13" t="s">
        <v>39</v>
      </c>
      <c r="D19" s="12" t="s">
        <v>74</v>
      </c>
      <c r="E19" s="15">
        <v>37889</v>
      </c>
      <c r="F19" s="13" t="s">
        <v>24</v>
      </c>
      <c r="G19" s="12">
        <v>0.12</v>
      </c>
      <c r="H19" s="15">
        <f t="shared" si="0"/>
        <v>4546.6799999999994</v>
      </c>
      <c r="I19" s="15">
        <f t="shared" si="1"/>
        <v>42435.68</v>
      </c>
      <c r="J19" s="13" t="str">
        <f t="shared" si="2"/>
        <v>Active</v>
      </c>
      <c r="K19" s="16">
        <f t="shared" si="3"/>
        <v>45131</v>
      </c>
      <c r="L19" s="12">
        <f t="shared" ca="1" si="4"/>
        <v>2</v>
      </c>
      <c r="M19" s="12" t="str">
        <v>July</v>
      </c>
      <c r="N19" s="13" t="str">
        <v/>
      </c>
      <c r="O19" s="12" t="str">
        <v>Mid Earner</v>
      </c>
      <c r="P19" s="13" t="str">
        <f t="shared" ca="1" si="5"/>
        <v>Not Eligible</v>
      </c>
      <c r="Q19" s="12" t="str">
        <f t="shared" ca="1" si="6"/>
        <v>No</v>
      </c>
      <c r="R19" s="12" t="str">
        <v>IT</v>
      </c>
      <c r="S19" s="13" t="str">
        <f t="shared" si="7"/>
        <v>EMP018,Sanjay,IT,Salary -42435.68,Active</v>
      </c>
    </row>
    <row r="20" spans="1:19">
      <c r="A20" s="12" t="s">
        <v>75</v>
      </c>
      <c r="B20" s="13" t="s">
        <v>76</v>
      </c>
      <c r="C20" s="13" t="s">
        <v>39</v>
      </c>
      <c r="D20" s="16">
        <v>44659</v>
      </c>
      <c r="E20" s="15">
        <v>26067</v>
      </c>
      <c r="F20" s="13" t="s">
        <v>24</v>
      </c>
      <c r="G20" s="12">
        <v>0.12</v>
      </c>
      <c r="H20" s="15">
        <f t="shared" si="0"/>
        <v>3128.04</v>
      </c>
      <c r="I20" s="15">
        <f t="shared" si="1"/>
        <v>29195.040000000001</v>
      </c>
      <c r="J20" s="13" t="str">
        <f t="shared" si="2"/>
        <v>Active</v>
      </c>
      <c r="K20" s="16">
        <v>44659</v>
      </c>
      <c r="L20" s="12">
        <f t="shared" ca="1" si="4"/>
        <v>3</v>
      </c>
      <c r="M20" s="12" t="str">
        <v>April</v>
      </c>
      <c r="N20" s="13" t="str">
        <v/>
      </c>
      <c r="O20" s="12" t="str">
        <v>Low Earner</v>
      </c>
      <c r="P20" s="13" t="str">
        <f t="shared" ca="1" si="5"/>
        <v>Eligible</v>
      </c>
      <c r="Q20" s="12" t="str">
        <f t="shared" ca="1" si="6"/>
        <v>No</v>
      </c>
      <c r="R20" s="12" t="str">
        <v>IT</v>
      </c>
      <c r="S20" s="13" t="str">
        <f t="shared" si="7"/>
        <v>EMP019,Rajesh,IT,Salary -29195.04,Active</v>
      </c>
    </row>
    <row r="21" spans="1:19">
      <c r="A21" s="12" t="s">
        <v>77</v>
      </c>
      <c r="B21" s="13" t="s">
        <v>78</v>
      </c>
      <c r="C21" s="13" t="s">
        <v>44</v>
      </c>
      <c r="D21" s="16">
        <v>44996</v>
      </c>
      <c r="E21" s="15">
        <v>23418</v>
      </c>
      <c r="F21" s="13" t="s">
        <v>48</v>
      </c>
      <c r="G21" s="12">
        <v>7.0000000000000007E-2</v>
      </c>
      <c r="H21" s="15">
        <f t="shared" si="0"/>
        <v>1639.2600000000002</v>
      </c>
      <c r="I21" s="15">
        <f t="shared" si="1"/>
        <v>25057.260000000002</v>
      </c>
      <c r="J21" s="13" t="str">
        <f t="shared" si="2"/>
        <v>Active</v>
      </c>
      <c r="K21" s="16">
        <v>44996</v>
      </c>
      <c r="L21" s="12">
        <f t="shared" ca="1" si="4"/>
        <v>2</v>
      </c>
      <c r="M21" s="12" t="str">
        <v>March</v>
      </c>
      <c r="N21" s="13" t="str">
        <v/>
      </c>
      <c r="O21" s="12" t="str">
        <v>Low Earner</v>
      </c>
      <c r="P21" s="13" t="str">
        <f t="shared" ca="1" si="5"/>
        <v>Not Eligible</v>
      </c>
      <c r="Q21" s="12" t="str">
        <f t="shared" ca="1" si="6"/>
        <v>No</v>
      </c>
      <c r="R21" s="12" t="str">
        <v>Su</v>
      </c>
      <c r="S21" s="13" t="str">
        <f t="shared" si="7"/>
        <v>EMP020,Naveen,Support,Salary -25057.26,Active</v>
      </c>
    </row>
    <row r="22" spans="1:19">
      <c r="A22" s="12" t="s">
        <v>79</v>
      </c>
      <c r="B22" s="13" t="s">
        <v>57</v>
      </c>
      <c r="C22" s="13" t="s">
        <v>39</v>
      </c>
      <c r="D22" s="16">
        <v>45450</v>
      </c>
      <c r="E22" s="15">
        <v>23927</v>
      </c>
      <c r="F22" s="13" t="s">
        <v>48</v>
      </c>
      <c r="G22" s="12">
        <v>0.12</v>
      </c>
      <c r="H22" s="15">
        <f t="shared" si="0"/>
        <v>2871.24</v>
      </c>
      <c r="I22" s="15">
        <f t="shared" si="1"/>
        <v>26798.239999999998</v>
      </c>
      <c r="J22" s="13" t="str">
        <f t="shared" si="2"/>
        <v>Active</v>
      </c>
      <c r="K22" s="16">
        <v>45450</v>
      </c>
      <c r="L22" s="12">
        <f t="shared" ca="1" si="4"/>
        <v>1</v>
      </c>
      <c r="M22" s="12" t="str">
        <v>June</v>
      </c>
      <c r="N22" s="13" t="str">
        <v/>
      </c>
      <c r="O22" s="12" t="str">
        <v>Low Earner</v>
      </c>
      <c r="P22" s="13" t="str">
        <f t="shared" ca="1" si="5"/>
        <v>Not Eligible</v>
      </c>
      <c r="Q22" s="12" t="str">
        <f t="shared" ca="1" si="6"/>
        <v>No</v>
      </c>
      <c r="R22" s="12" t="str">
        <v>IT</v>
      </c>
      <c r="S22" s="13" t="str">
        <f t="shared" si="7"/>
        <v>EMP021,Karthik,IT,Salary -26798.24,Active</v>
      </c>
    </row>
    <row r="23" spans="1:19">
      <c r="A23" s="12" t="s">
        <v>80</v>
      </c>
      <c r="B23" s="13" t="s">
        <v>78</v>
      </c>
      <c r="C23" s="13" t="s">
        <v>44</v>
      </c>
      <c r="D23" s="16">
        <v>44411</v>
      </c>
      <c r="E23" s="15">
        <v>64684</v>
      </c>
      <c r="F23" s="13" t="s">
        <v>69</v>
      </c>
      <c r="G23" s="12">
        <v>7.0000000000000007E-2</v>
      </c>
      <c r="H23" s="15">
        <f t="shared" si="0"/>
        <v>4527.88</v>
      </c>
      <c r="I23" s="15">
        <f t="shared" si="1"/>
        <v>69211.88</v>
      </c>
      <c r="J23" s="13" t="str">
        <f t="shared" si="2"/>
        <v>Active</v>
      </c>
      <c r="K23" s="16">
        <v>44411</v>
      </c>
      <c r="L23" s="12">
        <f t="shared" ca="1" si="4"/>
        <v>4</v>
      </c>
      <c r="M23" s="12" t="str">
        <v>August</v>
      </c>
      <c r="N23" s="13" t="str">
        <v/>
      </c>
      <c r="O23" s="12" t="str">
        <v>Top Earner</v>
      </c>
      <c r="P23" s="13" t="str">
        <f t="shared" ca="1" si="5"/>
        <v>Not Eligible</v>
      </c>
      <c r="Q23" s="12" t="str">
        <f t="shared" ca="1" si="6"/>
        <v>No</v>
      </c>
      <c r="R23" s="12" t="str">
        <v>Su</v>
      </c>
      <c r="S23" s="13" t="str">
        <f t="shared" si="7"/>
        <v>EMP022,Naveen,Support,Salary -69211.88,Active</v>
      </c>
    </row>
    <row r="24" spans="1:19">
      <c r="A24" s="12" t="s">
        <v>81</v>
      </c>
      <c r="B24" s="13" t="s">
        <v>82</v>
      </c>
      <c r="C24" s="13" t="s">
        <v>39</v>
      </c>
      <c r="D24" s="12" t="s">
        <v>83</v>
      </c>
      <c r="E24" s="15">
        <v>30753</v>
      </c>
      <c r="F24" s="13" t="s">
        <v>48</v>
      </c>
      <c r="G24" s="12">
        <v>0.12</v>
      </c>
      <c r="H24" s="15">
        <f t="shared" si="0"/>
        <v>3690.3599999999997</v>
      </c>
      <c r="I24" s="15">
        <f t="shared" si="1"/>
        <v>34443.360000000001</v>
      </c>
      <c r="J24" s="13" t="str">
        <f t="shared" si="2"/>
        <v>Active</v>
      </c>
      <c r="K24" s="16">
        <f t="shared" si="3"/>
        <v>44853</v>
      </c>
      <c r="L24" s="12">
        <f t="shared" ca="1" si="4"/>
        <v>3</v>
      </c>
      <c r="M24" s="12" t="str">
        <v>October</v>
      </c>
      <c r="N24" s="13" t="str">
        <v/>
      </c>
      <c r="O24" s="12" t="str">
        <v>Low Earner</v>
      </c>
      <c r="P24" s="13" t="str">
        <f t="shared" ca="1" si="5"/>
        <v>Eligible</v>
      </c>
      <c r="Q24" s="12" t="str">
        <f t="shared" ca="1" si="6"/>
        <v>No</v>
      </c>
      <c r="R24" s="12" t="str">
        <v>IT</v>
      </c>
      <c r="S24" s="13" t="str">
        <f t="shared" si="7"/>
        <v>EMP023,Ravi,IT,Salary -34443.36,Active</v>
      </c>
    </row>
    <row r="25" spans="1:19">
      <c r="A25" s="12" t="s">
        <v>84</v>
      </c>
      <c r="B25" s="13" t="s">
        <v>35</v>
      </c>
      <c r="C25" s="13" t="s">
        <v>22</v>
      </c>
      <c r="D25" s="12" t="s">
        <v>85</v>
      </c>
      <c r="E25" s="15">
        <v>30329</v>
      </c>
      <c r="F25" s="13" t="s">
        <v>24</v>
      </c>
      <c r="G25" s="12">
        <v>0.09</v>
      </c>
      <c r="H25" s="15">
        <f t="shared" si="0"/>
        <v>2729.6099999999997</v>
      </c>
      <c r="I25" s="15">
        <f t="shared" si="1"/>
        <v>33058.61</v>
      </c>
      <c r="J25" s="13" t="str">
        <f t="shared" si="2"/>
        <v>Active</v>
      </c>
      <c r="K25" s="16">
        <f t="shared" si="3"/>
        <v>44373</v>
      </c>
      <c r="L25" s="12">
        <f t="shared" ca="1" si="4"/>
        <v>4</v>
      </c>
      <c r="M25" s="12" t="str">
        <v>June</v>
      </c>
      <c r="N25" s="13" t="str">
        <v/>
      </c>
      <c r="O25" s="12" t="str">
        <v>Low Earner</v>
      </c>
      <c r="P25" s="13" t="str">
        <f t="shared" ca="1" si="5"/>
        <v>Not Eligible</v>
      </c>
      <c r="Q25" s="12" t="str">
        <f t="shared" ca="1" si="6"/>
        <v>No</v>
      </c>
      <c r="R25" s="12" t="str">
        <v>Ma</v>
      </c>
      <c r="S25" s="13" t="str">
        <f t="shared" si="7"/>
        <v>EMP024,Prakash,Marketing,Salary -33058.61,Active</v>
      </c>
    </row>
    <row r="26" spans="1:19">
      <c r="A26" s="12" t="s">
        <v>86</v>
      </c>
      <c r="B26" s="13" t="s">
        <v>87</v>
      </c>
      <c r="C26" s="13" t="s">
        <v>31</v>
      </c>
      <c r="D26" s="12" t="s">
        <v>88</v>
      </c>
      <c r="E26" s="15">
        <v>29854</v>
      </c>
      <c r="F26" s="13" t="s">
        <v>41</v>
      </c>
      <c r="G26" s="12">
        <v>0.08</v>
      </c>
      <c r="H26" s="15">
        <f t="shared" si="0"/>
        <v>2388.3200000000002</v>
      </c>
      <c r="I26" s="15">
        <f t="shared" si="1"/>
        <v>32242.32</v>
      </c>
      <c r="J26" s="13" t="str">
        <f t="shared" si="2"/>
        <v>Active</v>
      </c>
      <c r="K26" s="16">
        <f t="shared" si="3"/>
        <v>44369</v>
      </c>
      <c r="L26" s="12">
        <f t="shared" ca="1" si="4"/>
        <v>4</v>
      </c>
      <c r="M26" s="12" t="str">
        <v>June</v>
      </c>
      <c r="N26" s="13" t="str">
        <v/>
      </c>
      <c r="O26" s="12" t="str">
        <v>Low Earner</v>
      </c>
      <c r="P26" s="13" t="str">
        <f t="shared" ca="1" si="5"/>
        <v>Not Eligible</v>
      </c>
      <c r="Q26" s="12" t="str">
        <f t="shared" ca="1" si="6"/>
        <v>No</v>
      </c>
      <c r="R26" s="12" t="str">
        <v>HR</v>
      </c>
      <c r="S26" s="13" t="str">
        <f t="shared" si="7"/>
        <v>EMP025,Akash,HR,Salary -32242.32,Active</v>
      </c>
    </row>
    <row r="27" spans="1:19">
      <c r="A27" s="12" t="s">
        <v>89</v>
      </c>
      <c r="B27" s="13" t="s">
        <v>30</v>
      </c>
      <c r="C27" s="13" t="s">
        <v>27</v>
      </c>
      <c r="D27" s="12" t="s">
        <v>90</v>
      </c>
      <c r="E27" s="15">
        <v>61900</v>
      </c>
      <c r="F27" s="13" t="s">
        <v>69</v>
      </c>
      <c r="G27" s="12">
        <v>0.1</v>
      </c>
      <c r="H27" s="15">
        <f t="shared" si="0"/>
        <v>6190</v>
      </c>
      <c r="I27" s="15">
        <f t="shared" si="1"/>
        <v>68090</v>
      </c>
      <c r="J27" s="13" t="str">
        <f t="shared" si="2"/>
        <v>Active</v>
      </c>
      <c r="K27" s="16">
        <f t="shared" si="3"/>
        <v>44648</v>
      </c>
      <c r="L27" s="12">
        <f t="shared" ca="1" si="4"/>
        <v>3</v>
      </c>
      <c r="M27" s="12" t="str">
        <v>March</v>
      </c>
      <c r="N27" s="13" t="str">
        <v>High Bonus</v>
      </c>
      <c r="O27" s="12" t="str">
        <v>Top Earner</v>
      </c>
      <c r="P27" s="13" t="str">
        <f t="shared" ca="1" si="5"/>
        <v>Not Eligible</v>
      </c>
      <c r="Q27" s="12" t="str">
        <f t="shared" ca="1" si="6"/>
        <v>No</v>
      </c>
      <c r="R27" s="12" t="str">
        <v>Fi</v>
      </c>
      <c r="S27" s="13" t="str">
        <f t="shared" si="7"/>
        <v>EMP026,Bala,Finance,Salary -68090,Active</v>
      </c>
    </row>
    <row r="28" spans="1:19">
      <c r="A28" s="12" t="s">
        <v>91</v>
      </c>
      <c r="B28" s="13" t="s">
        <v>82</v>
      </c>
      <c r="C28" s="13" t="s">
        <v>27</v>
      </c>
      <c r="D28" s="16">
        <v>44752</v>
      </c>
      <c r="E28" s="15">
        <v>57339</v>
      </c>
      <c r="F28" s="13" t="s">
        <v>41</v>
      </c>
      <c r="G28" s="12">
        <v>0.1</v>
      </c>
      <c r="H28" s="15">
        <f t="shared" si="0"/>
        <v>5733.9000000000005</v>
      </c>
      <c r="I28" s="15">
        <f t="shared" si="1"/>
        <v>63072.9</v>
      </c>
      <c r="J28" s="13" t="str">
        <f t="shared" si="2"/>
        <v>Active</v>
      </c>
      <c r="K28" s="16">
        <v>44752</v>
      </c>
      <c r="L28" s="12">
        <f t="shared" ca="1" si="4"/>
        <v>3</v>
      </c>
      <c r="M28" s="12" t="str">
        <v>July</v>
      </c>
      <c r="N28" s="13" t="str">
        <v>High Bonus</v>
      </c>
      <c r="O28" s="12" t="str">
        <v>Top Earner</v>
      </c>
      <c r="P28" s="13" t="str">
        <f t="shared" ca="1" si="5"/>
        <v>Not Eligible</v>
      </c>
      <c r="Q28" s="12" t="str">
        <f t="shared" ca="1" si="6"/>
        <v>No</v>
      </c>
      <c r="R28" s="12" t="str">
        <v>Fi</v>
      </c>
      <c r="S28" s="13" t="str">
        <f t="shared" si="7"/>
        <v>EMP027,Ravi,Finance,Salary -63072.9,Active</v>
      </c>
    </row>
    <row r="29" spans="1:19">
      <c r="A29" s="12" t="s">
        <v>92</v>
      </c>
      <c r="B29" s="13" t="s">
        <v>67</v>
      </c>
      <c r="C29" s="13" t="s">
        <v>27</v>
      </c>
      <c r="D29" s="16">
        <v>45176</v>
      </c>
      <c r="E29" s="15">
        <v>54457</v>
      </c>
      <c r="F29" s="13" t="s">
        <v>24</v>
      </c>
      <c r="G29" s="12">
        <v>0.1</v>
      </c>
      <c r="H29" s="15">
        <f t="shared" si="0"/>
        <v>5445.7000000000007</v>
      </c>
      <c r="I29" s="15">
        <f t="shared" si="1"/>
        <v>59902.7</v>
      </c>
      <c r="J29" s="13" t="str">
        <f t="shared" si="2"/>
        <v>Active</v>
      </c>
      <c r="K29" s="16">
        <v>45176</v>
      </c>
      <c r="L29" s="12">
        <f t="shared" ca="1" si="4"/>
        <v>2</v>
      </c>
      <c r="M29" s="12" t="str">
        <v>September</v>
      </c>
      <c r="N29" s="13" t="str">
        <v>High Bonus</v>
      </c>
      <c r="O29" s="12" t="str">
        <v>Mid Earner</v>
      </c>
      <c r="P29" s="13" t="str">
        <f t="shared" ca="1" si="5"/>
        <v>Not Eligible</v>
      </c>
      <c r="Q29" s="12" t="str">
        <f t="shared" ca="1" si="6"/>
        <v>No</v>
      </c>
      <c r="R29" s="12" t="str">
        <v>Fi</v>
      </c>
      <c r="S29" s="13" t="str">
        <f t="shared" si="7"/>
        <v>EMP028,Manoj,Finance,Salary -59902.7,Active</v>
      </c>
    </row>
    <row r="30" spans="1:19">
      <c r="A30" s="12" t="s">
        <v>93</v>
      </c>
      <c r="B30" s="13" t="s">
        <v>57</v>
      </c>
      <c r="C30" s="13" t="s">
        <v>22</v>
      </c>
      <c r="D30" s="16">
        <v>44109</v>
      </c>
      <c r="E30" s="15">
        <v>32832</v>
      </c>
      <c r="F30" s="13" t="s">
        <v>41</v>
      </c>
      <c r="G30" s="12">
        <v>0.09</v>
      </c>
      <c r="H30" s="15">
        <f t="shared" si="0"/>
        <v>2954.88</v>
      </c>
      <c r="I30" s="15">
        <f t="shared" si="1"/>
        <v>35786.879999999997</v>
      </c>
      <c r="J30" s="13" t="str">
        <f t="shared" si="2"/>
        <v>Active</v>
      </c>
      <c r="K30" s="16">
        <v>44109</v>
      </c>
      <c r="L30" s="12">
        <f t="shared" ca="1" si="4"/>
        <v>5</v>
      </c>
      <c r="M30" s="12" t="str">
        <v>October</v>
      </c>
      <c r="N30" s="13" t="str">
        <v/>
      </c>
      <c r="O30" s="12" t="str">
        <v>Low Earner</v>
      </c>
      <c r="P30" s="13" t="str">
        <f t="shared" ca="1" si="5"/>
        <v>Not Eligible</v>
      </c>
      <c r="Q30" s="12" t="str">
        <f t="shared" ca="1" si="6"/>
        <v>No</v>
      </c>
      <c r="R30" s="12" t="str">
        <v>Ma</v>
      </c>
      <c r="S30" s="13" t="str">
        <f t="shared" si="7"/>
        <v>EMP029,Karthik,Marketing,Salary -35786.88,Active</v>
      </c>
    </row>
    <row r="31" spans="1:19">
      <c r="A31" s="12" t="s">
        <v>94</v>
      </c>
      <c r="B31" s="13" t="s">
        <v>78</v>
      </c>
      <c r="C31" s="13" t="s">
        <v>31</v>
      </c>
      <c r="D31" s="12" t="s">
        <v>95</v>
      </c>
      <c r="E31" s="15">
        <v>39603</v>
      </c>
      <c r="F31" s="13" t="s">
        <v>48</v>
      </c>
      <c r="G31" s="12">
        <v>0.08</v>
      </c>
      <c r="H31" s="15">
        <f t="shared" si="0"/>
        <v>3168.2400000000002</v>
      </c>
      <c r="I31" s="15">
        <f t="shared" si="1"/>
        <v>42771.24</v>
      </c>
      <c r="J31" s="13" t="str">
        <f t="shared" si="2"/>
        <v>Active</v>
      </c>
      <c r="K31" s="16">
        <f t="shared" si="3"/>
        <v>44914</v>
      </c>
      <c r="L31" s="12">
        <f t="shared" ca="1" si="4"/>
        <v>3</v>
      </c>
      <c r="M31" s="12" t="str">
        <v>December</v>
      </c>
      <c r="N31" s="13" t="str">
        <v/>
      </c>
      <c r="O31" s="12" t="str">
        <v>Mid Earner</v>
      </c>
      <c r="P31" s="13" t="str">
        <f t="shared" ca="1" si="5"/>
        <v>Not Eligible</v>
      </c>
      <c r="Q31" s="12" t="str">
        <f t="shared" ca="1" si="6"/>
        <v>Yes</v>
      </c>
      <c r="R31" s="12" t="str">
        <v>HR</v>
      </c>
      <c r="S31" s="13" t="str">
        <f t="shared" si="7"/>
        <v>EMP030,Naveen,HR,Salary -42771.24,Active</v>
      </c>
    </row>
    <row r="32" spans="1:19">
      <c r="A32" s="12" t="s">
        <v>96</v>
      </c>
      <c r="B32" s="13" t="s">
        <v>61</v>
      </c>
      <c r="C32" s="13" t="s">
        <v>44</v>
      </c>
      <c r="D32" s="12" t="s">
        <v>97</v>
      </c>
      <c r="E32" s="15">
        <v>57871</v>
      </c>
      <c r="F32" s="13" t="s">
        <v>69</v>
      </c>
      <c r="G32" s="12">
        <v>7.0000000000000007E-2</v>
      </c>
      <c r="H32" s="15">
        <f t="shared" si="0"/>
        <v>4050.9700000000003</v>
      </c>
      <c r="I32" s="15">
        <f t="shared" si="1"/>
        <v>61921.97</v>
      </c>
      <c r="J32" s="13" t="str">
        <f t="shared" si="2"/>
        <v>Active</v>
      </c>
      <c r="K32" s="16">
        <f t="shared" si="3"/>
        <v>45307</v>
      </c>
      <c r="L32" s="12">
        <f t="shared" ca="1" si="4"/>
        <v>1</v>
      </c>
      <c r="M32" s="12" t="str">
        <v>January</v>
      </c>
      <c r="N32" s="13" t="str">
        <v/>
      </c>
      <c r="O32" s="12" t="str">
        <v>Top Earner</v>
      </c>
      <c r="P32" s="13" t="str">
        <f t="shared" ca="1" si="5"/>
        <v>Not Eligible</v>
      </c>
      <c r="Q32" s="12" t="str">
        <f t="shared" ca="1" si="6"/>
        <v>No</v>
      </c>
      <c r="R32" s="12" t="str">
        <v>Su</v>
      </c>
      <c r="S32" s="13" t="str">
        <f t="shared" si="7"/>
        <v>EMP031,Surya,Support,Salary -61921.97,Active</v>
      </c>
    </row>
    <row r="33" spans="1:19">
      <c r="A33" s="12" t="s">
        <v>98</v>
      </c>
      <c r="B33" s="13" t="s">
        <v>26</v>
      </c>
      <c r="C33" s="13" t="s">
        <v>71</v>
      </c>
      <c r="D33" s="12" t="s">
        <v>99</v>
      </c>
      <c r="E33" s="15">
        <v>54439</v>
      </c>
      <c r="F33" s="13" t="s">
        <v>33</v>
      </c>
      <c r="G33" s="12">
        <v>0.15</v>
      </c>
      <c r="H33" s="15">
        <f t="shared" si="0"/>
        <v>8165.8499999999995</v>
      </c>
      <c r="I33" s="15">
        <f t="shared" si="1"/>
        <v>62604.85</v>
      </c>
      <c r="J33" s="13" t="str">
        <f t="shared" si="2"/>
        <v>Active</v>
      </c>
      <c r="K33" s="16">
        <f t="shared" si="3"/>
        <v>45405</v>
      </c>
      <c r="L33" s="12">
        <f t="shared" ca="1" si="4"/>
        <v>1</v>
      </c>
      <c r="M33" s="12" t="str">
        <v>April</v>
      </c>
      <c r="N33" s="13" t="str">
        <v>High Bonus</v>
      </c>
      <c r="O33" s="12" t="str">
        <v>Top Earner</v>
      </c>
      <c r="P33" s="13" t="str">
        <f t="shared" ca="1" si="5"/>
        <v>Not Eligible</v>
      </c>
      <c r="Q33" s="12" t="str">
        <f t="shared" ca="1" si="6"/>
        <v>No</v>
      </c>
      <c r="R33" s="12" t="str">
        <v>Sa</v>
      </c>
      <c r="S33" s="13" t="str">
        <f t="shared" si="7"/>
        <v>EMP032,Dinesh,Sales,Salary -62604.85,Active</v>
      </c>
    </row>
    <row r="34" spans="1:19">
      <c r="A34" s="12" t="s">
        <v>100</v>
      </c>
      <c r="B34" s="13" t="s">
        <v>57</v>
      </c>
      <c r="C34" s="13" t="s">
        <v>22</v>
      </c>
      <c r="D34" s="16">
        <v>44810</v>
      </c>
      <c r="E34" s="15">
        <v>51012</v>
      </c>
      <c r="F34" s="13" t="s">
        <v>48</v>
      </c>
      <c r="G34" s="12">
        <v>0.09</v>
      </c>
      <c r="H34" s="15">
        <f t="shared" ref="H34:H65" si="8">E34*G34</f>
        <v>4591.08</v>
      </c>
      <c r="I34" s="15">
        <f t="shared" ref="I34:I65" si="9">E34+H34</f>
        <v>55603.08</v>
      </c>
      <c r="J34" s="13" t="str">
        <f t="shared" ref="J34:J65" si="10">IF(I34&gt;=25000,"Active","Probation")</f>
        <v>Active</v>
      </c>
      <c r="K34" s="16">
        <v>44810</v>
      </c>
      <c r="L34" s="12">
        <f t="shared" ca="1" si="4"/>
        <v>3</v>
      </c>
      <c r="M34" s="12" t="str">
        <v>September</v>
      </c>
      <c r="N34" s="13" t="str">
        <v/>
      </c>
      <c r="O34" s="12" t="str">
        <v>Mid Earner</v>
      </c>
      <c r="P34" s="13" t="str">
        <f t="shared" ca="1" si="5"/>
        <v>Not Eligible</v>
      </c>
      <c r="Q34" s="12" t="str">
        <f t="shared" ca="1" si="6"/>
        <v>No</v>
      </c>
      <c r="R34" s="12" t="str">
        <v>Ma</v>
      </c>
      <c r="S34" s="13" t="str">
        <f t="shared" si="7"/>
        <v>EMP033,Karthik,Marketing,Salary -55603.08,Active</v>
      </c>
    </row>
    <row r="35" spans="1:19">
      <c r="A35" s="12" t="s">
        <v>101</v>
      </c>
      <c r="B35" s="13" t="s">
        <v>102</v>
      </c>
      <c r="C35" s="13" t="s">
        <v>27</v>
      </c>
      <c r="D35" s="12" t="s">
        <v>103</v>
      </c>
      <c r="E35" s="15">
        <v>55827</v>
      </c>
      <c r="F35" s="13" t="s">
        <v>24</v>
      </c>
      <c r="G35" s="12">
        <v>0.1</v>
      </c>
      <c r="H35" s="15">
        <f t="shared" si="8"/>
        <v>5582.7000000000007</v>
      </c>
      <c r="I35" s="15">
        <f t="shared" si="9"/>
        <v>61409.7</v>
      </c>
      <c r="J35" s="13" t="str">
        <f t="shared" si="10"/>
        <v>Active</v>
      </c>
      <c r="K35" s="16">
        <f t="shared" si="3"/>
        <v>45624</v>
      </c>
      <c r="L35" s="12">
        <f t="shared" ca="1" si="4"/>
        <v>1</v>
      </c>
      <c r="M35" s="12" t="str">
        <v>November</v>
      </c>
      <c r="N35" s="13" t="str">
        <v>High Bonus</v>
      </c>
      <c r="O35" s="12" t="str">
        <v>Top Earner</v>
      </c>
      <c r="P35" s="13" t="str">
        <f t="shared" ca="1" si="5"/>
        <v>Not Eligible</v>
      </c>
      <c r="Q35" s="12" t="str">
        <f t="shared" ca="1" si="6"/>
        <v>No</v>
      </c>
      <c r="R35" s="12" t="str">
        <v>Fi</v>
      </c>
      <c r="S35" s="13" t="str">
        <f t="shared" si="7"/>
        <v>EMP034,Gokul,Finance,Salary -61409.7,Active</v>
      </c>
    </row>
    <row r="36" spans="1:19">
      <c r="A36" s="12" t="s">
        <v>104</v>
      </c>
      <c r="B36" s="13" t="s">
        <v>61</v>
      </c>
      <c r="C36" s="13" t="s">
        <v>22</v>
      </c>
      <c r="D36" s="16">
        <v>44692</v>
      </c>
      <c r="E36" s="15">
        <v>60685</v>
      </c>
      <c r="F36" s="13" t="s">
        <v>33</v>
      </c>
      <c r="G36" s="12">
        <v>0.09</v>
      </c>
      <c r="H36" s="15">
        <f t="shared" si="8"/>
        <v>5461.65</v>
      </c>
      <c r="I36" s="15">
        <f t="shared" si="9"/>
        <v>66146.649999999994</v>
      </c>
      <c r="J36" s="13" t="str">
        <f t="shared" si="10"/>
        <v>Active</v>
      </c>
      <c r="K36" s="16">
        <v>44692</v>
      </c>
      <c r="L36" s="12">
        <f t="shared" ca="1" si="4"/>
        <v>3</v>
      </c>
      <c r="M36" s="12" t="str">
        <v>May</v>
      </c>
      <c r="N36" s="13" t="str">
        <v>High Bonus</v>
      </c>
      <c r="O36" s="12" t="str">
        <v>Top Earner</v>
      </c>
      <c r="P36" s="13" t="str">
        <f t="shared" ca="1" si="5"/>
        <v>Not Eligible</v>
      </c>
      <c r="Q36" s="12" t="str">
        <f t="shared" ca="1" si="6"/>
        <v>No</v>
      </c>
      <c r="R36" s="12" t="str">
        <v>Ma</v>
      </c>
      <c r="S36" s="13" t="str">
        <f t="shared" si="7"/>
        <v>EMP035,Surya,Marketing,Salary -66146.65,Active</v>
      </c>
    </row>
    <row r="37" spans="1:19">
      <c r="A37" s="12" t="s">
        <v>105</v>
      </c>
      <c r="B37" s="13" t="s">
        <v>47</v>
      </c>
      <c r="C37" s="13" t="s">
        <v>22</v>
      </c>
      <c r="D37" s="16">
        <v>44692</v>
      </c>
      <c r="E37" s="15">
        <v>57917</v>
      </c>
      <c r="F37" s="13" t="s">
        <v>33</v>
      </c>
      <c r="G37" s="12">
        <v>0.09</v>
      </c>
      <c r="H37" s="15">
        <f t="shared" si="8"/>
        <v>5212.53</v>
      </c>
      <c r="I37" s="15">
        <f t="shared" si="9"/>
        <v>63129.53</v>
      </c>
      <c r="J37" s="13" t="str">
        <f t="shared" si="10"/>
        <v>Active</v>
      </c>
      <c r="K37" s="16">
        <v>44692</v>
      </c>
      <c r="L37" s="12">
        <f t="shared" ca="1" si="4"/>
        <v>3</v>
      </c>
      <c r="M37" s="12" t="str">
        <v>May</v>
      </c>
      <c r="N37" s="13" t="str">
        <v>High Bonus</v>
      </c>
      <c r="O37" s="12" t="str">
        <v>Top Earner</v>
      </c>
      <c r="P37" s="13" t="str">
        <f t="shared" ca="1" si="5"/>
        <v>Not Eligible</v>
      </c>
      <c r="Q37" s="12" t="str">
        <f t="shared" ca="1" si="6"/>
        <v>No</v>
      </c>
      <c r="R37" s="12" t="str">
        <v>Ma</v>
      </c>
      <c r="S37" s="13" t="str">
        <f t="shared" si="7"/>
        <v>EMP036,Madhan,Marketing,Salary -63129.53,Active</v>
      </c>
    </row>
    <row r="38" spans="1:19">
      <c r="A38" s="12" t="s">
        <v>106</v>
      </c>
      <c r="B38" s="13" t="s">
        <v>78</v>
      </c>
      <c r="C38" s="13" t="s">
        <v>71</v>
      </c>
      <c r="D38" s="16">
        <v>45569</v>
      </c>
      <c r="E38" s="15">
        <v>40563</v>
      </c>
      <c r="F38" s="13" t="s">
        <v>41</v>
      </c>
      <c r="G38" s="12">
        <v>0.15</v>
      </c>
      <c r="H38" s="15">
        <f t="shared" si="8"/>
        <v>6084.45</v>
      </c>
      <c r="I38" s="15">
        <f t="shared" si="9"/>
        <v>46647.45</v>
      </c>
      <c r="J38" s="13" t="str">
        <f t="shared" si="10"/>
        <v>Active</v>
      </c>
      <c r="K38" s="16">
        <v>45569</v>
      </c>
      <c r="L38" s="12">
        <f t="shared" ca="1" si="4"/>
        <v>1</v>
      </c>
      <c r="M38" s="12" t="str">
        <v>October</v>
      </c>
      <c r="N38" s="13" t="str">
        <v>High Bonus</v>
      </c>
      <c r="O38" s="12" t="str">
        <v>Mid Earner</v>
      </c>
      <c r="P38" s="13" t="str">
        <f t="shared" ca="1" si="5"/>
        <v>Not Eligible</v>
      </c>
      <c r="Q38" s="12" t="str">
        <f t="shared" ca="1" si="6"/>
        <v>No</v>
      </c>
      <c r="R38" s="12" t="str">
        <v>Sa</v>
      </c>
      <c r="S38" s="13" t="str">
        <f t="shared" si="7"/>
        <v>EMP037,Naveen,Sales,Salary -46647.45,Active</v>
      </c>
    </row>
    <row r="39" spans="1:19">
      <c r="A39" s="12" t="s">
        <v>107</v>
      </c>
      <c r="B39" s="13" t="s">
        <v>108</v>
      </c>
      <c r="C39" s="13" t="s">
        <v>27</v>
      </c>
      <c r="D39" s="16">
        <v>45235</v>
      </c>
      <c r="E39" s="15">
        <v>55771</v>
      </c>
      <c r="F39" s="13" t="s">
        <v>69</v>
      </c>
      <c r="G39" s="12">
        <v>0.1</v>
      </c>
      <c r="H39" s="15">
        <f t="shared" si="8"/>
        <v>5577.1</v>
      </c>
      <c r="I39" s="15">
        <f t="shared" si="9"/>
        <v>61348.1</v>
      </c>
      <c r="J39" s="13" t="str">
        <f t="shared" si="10"/>
        <v>Active</v>
      </c>
      <c r="K39" s="16">
        <v>45235</v>
      </c>
      <c r="L39" s="12">
        <f t="shared" ca="1" si="4"/>
        <v>2</v>
      </c>
      <c r="M39" s="12" t="str">
        <v>November</v>
      </c>
      <c r="N39" s="13" t="str">
        <v>High Bonus</v>
      </c>
      <c r="O39" s="12" t="str">
        <v>Top Earner</v>
      </c>
      <c r="P39" s="13" t="str">
        <f t="shared" ca="1" si="5"/>
        <v>Not Eligible</v>
      </c>
      <c r="Q39" s="12" t="str">
        <f t="shared" ca="1" si="6"/>
        <v>No</v>
      </c>
      <c r="R39" s="12" t="str">
        <v>Fi</v>
      </c>
      <c r="S39" s="13" t="str">
        <f t="shared" si="7"/>
        <v>EMP038,Ramesh,Finance,Salary -61348.1,Active</v>
      </c>
    </row>
    <row r="40" spans="1:19">
      <c r="A40" s="12" t="s">
        <v>109</v>
      </c>
      <c r="B40" s="13" t="s">
        <v>73</v>
      </c>
      <c r="C40" s="13" t="s">
        <v>22</v>
      </c>
      <c r="D40" s="12" t="s">
        <v>110</v>
      </c>
      <c r="E40" s="15">
        <v>35202</v>
      </c>
      <c r="F40" s="13" t="s">
        <v>24</v>
      </c>
      <c r="G40" s="12">
        <v>0.09</v>
      </c>
      <c r="H40" s="15">
        <f t="shared" si="8"/>
        <v>3168.18</v>
      </c>
      <c r="I40" s="15">
        <f t="shared" si="9"/>
        <v>38370.18</v>
      </c>
      <c r="J40" s="13" t="str">
        <f t="shared" si="10"/>
        <v>Active</v>
      </c>
      <c r="K40" s="16">
        <f t="shared" si="3"/>
        <v>45733</v>
      </c>
      <c r="L40" s="12">
        <f t="shared" ca="1" si="4"/>
        <v>0</v>
      </c>
      <c r="M40" s="12" t="str">
        <v>March</v>
      </c>
      <c r="N40" s="13" t="str">
        <v/>
      </c>
      <c r="O40" s="12" t="str">
        <v>Low Earner</v>
      </c>
      <c r="P40" s="13" t="str">
        <f t="shared" ca="1" si="5"/>
        <v>Not Eligible</v>
      </c>
      <c r="Q40" s="12" t="str">
        <f t="shared" ca="1" si="6"/>
        <v>No</v>
      </c>
      <c r="R40" s="12" t="str">
        <v>Ma</v>
      </c>
      <c r="S40" s="13" t="str">
        <f t="shared" si="7"/>
        <v>EMP039,Sanjay,Marketing,Salary -38370.18,Active</v>
      </c>
    </row>
    <row r="41" spans="1:19">
      <c r="A41" s="12" t="s">
        <v>111</v>
      </c>
      <c r="B41" s="13" t="s">
        <v>43</v>
      </c>
      <c r="C41" s="13" t="s">
        <v>22</v>
      </c>
      <c r="D41" s="16">
        <v>44413</v>
      </c>
      <c r="E41" s="15">
        <v>29999</v>
      </c>
      <c r="F41" s="13" t="s">
        <v>48</v>
      </c>
      <c r="G41" s="12">
        <v>0.09</v>
      </c>
      <c r="H41" s="15">
        <f t="shared" si="8"/>
        <v>2699.91</v>
      </c>
      <c r="I41" s="15">
        <f t="shared" si="9"/>
        <v>32698.91</v>
      </c>
      <c r="J41" s="13" t="str">
        <f t="shared" si="10"/>
        <v>Active</v>
      </c>
      <c r="K41" s="16">
        <v>44413</v>
      </c>
      <c r="L41" s="12">
        <f t="shared" ca="1" si="4"/>
        <v>4</v>
      </c>
      <c r="M41" s="12" t="str">
        <v>August</v>
      </c>
      <c r="N41" s="13" t="str">
        <v/>
      </c>
      <c r="O41" s="12" t="str">
        <v>Low Earner</v>
      </c>
      <c r="P41" s="13" t="str">
        <f t="shared" ca="1" si="5"/>
        <v>Not Eligible</v>
      </c>
      <c r="Q41" s="12" t="str">
        <f t="shared" ca="1" si="6"/>
        <v>No</v>
      </c>
      <c r="R41" s="12" t="str">
        <v>Ma</v>
      </c>
      <c r="S41" s="13" t="str">
        <f t="shared" si="7"/>
        <v>EMP040,Saravanan,Marketing,Salary -32698.91,Active</v>
      </c>
    </row>
    <row r="42" spans="1:19">
      <c r="A42" s="12" t="s">
        <v>112</v>
      </c>
      <c r="B42" s="13" t="s">
        <v>47</v>
      </c>
      <c r="C42" s="13" t="s">
        <v>27</v>
      </c>
      <c r="D42" s="12" t="s">
        <v>113</v>
      </c>
      <c r="E42" s="15">
        <v>61225</v>
      </c>
      <c r="F42" s="13" t="s">
        <v>24</v>
      </c>
      <c r="G42" s="12">
        <v>0.1</v>
      </c>
      <c r="H42" s="15">
        <f t="shared" si="8"/>
        <v>6122.5</v>
      </c>
      <c r="I42" s="15">
        <f t="shared" si="9"/>
        <v>67347.5</v>
      </c>
      <c r="J42" s="13" t="str">
        <f t="shared" si="10"/>
        <v>Active</v>
      </c>
      <c r="K42" s="16">
        <f t="shared" si="3"/>
        <v>44826</v>
      </c>
      <c r="L42" s="12">
        <f t="shared" ca="1" si="4"/>
        <v>3</v>
      </c>
      <c r="M42" s="12" t="str">
        <v>September</v>
      </c>
      <c r="N42" s="13" t="str">
        <v>High Bonus</v>
      </c>
      <c r="O42" s="12" t="str">
        <v>Top Earner</v>
      </c>
      <c r="P42" s="13" t="str">
        <f t="shared" ca="1" si="5"/>
        <v>Not Eligible</v>
      </c>
      <c r="Q42" s="12" t="str">
        <f t="shared" ca="1" si="6"/>
        <v>No</v>
      </c>
      <c r="R42" s="12" t="str">
        <v>Fi</v>
      </c>
      <c r="S42" s="13" t="str">
        <f t="shared" si="7"/>
        <v>EMP041,Madhan,Finance,Salary -67347.5,Active</v>
      </c>
    </row>
    <row r="43" spans="1:19">
      <c r="A43" s="12" t="s">
        <v>114</v>
      </c>
      <c r="B43" s="13" t="s">
        <v>52</v>
      </c>
      <c r="C43" s="13" t="s">
        <v>39</v>
      </c>
      <c r="D43" s="12" t="s">
        <v>115</v>
      </c>
      <c r="E43" s="15">
        <v>63905</v>
      </c>
      <c r="F43" s="13" t="s">
        <v>33</v>
      </c>
      <c r="G43" s="12">
        <v>0.12</v>
      </c>
      <c r="H43" s="15">
        <f t="shared" si="8"/>
        <v>7668.5999999999995</v>
      </c>
      <c r="I43" s="15">
        <f t="shared" si="9"/>
        <v>71573.600000000006</v>
      </c>
      <c r="J43" s="13" t="str">
        <f t="shared" si="10"/>
        <v>Active</v>
      </c>
      <c r="K43" s="16">
        <f t="shared" si="3"/>
        <v>45182</v>
      </c>
      <c r="L43" s="12">
        <f t="shared" ca="1" si="4"/>
        <v>2</v>
      </c>
      <c r="M43" s="12" t="str">
        <v>September</v>
      </c>
      <c r="N43" s="13" t="str">
        <v>High Bonus</v>
      </c>
      <c r="O43" s="12" t="str">
        <v>Top Earner</v>
      </c>
      <c r="P43" s="13" t="str">
        <f t="shared" ca="1" si="5"/>
        <v>Not Eligible</v>
      </c>
      <c r="Q43" s="12" t="str">
        <f t="shared" ca="1" si="6"/>
        <v>No</v>
      </c>
      <c r="R43" s="12" t="str">
        <v>IT</v>
      </c>
      <c r="S43" s="13" t="str">
        <f t="shared" si="7"/>
        <v>EMP042,Anand,IT,Salary -71573.6,Active</v>
      </c>
    </row>
    <row r="44" spans="1:19">
      <c r="A44" s="12" t="s">
        <v>116</v>
      </c>
      <c r="B44" s="13" t="s">
        <v>21</v>
      </c>
      <c r="C44" s="13" t="s">
        <v>39</v>
      </c>
      <c r="D44" s="12" t="s">
        <v>117</v>
      </c>
      <c r="E44" s="15">
        <v>32797</v>
      </c>
      <c r="F44" s="13" t="s">
        <v>24</v>
      </c>
      <c r="G44" s="12">
        <v>0.12</v>
      </c>
      <c r="H44" s="15">
        <f t="shared" si="8"/>
        <v>3935.64</v>
      </c>
      <c r="I44" s="15">
        <f t="shared" si="9"/>
        <v>36732.639999999999</v>
      </c>
      <c r="J44" s="13" t="str">
        <f t="shared" si="10"/>
        <v>Active</v>
      </c>
      <c r="K44" s="16">
        <f t="shared" si="3"/>
        <v>44911</v>
      </c>
      <c r="L44" s="12">
        <f t="shared" ca="1" si="4"/>
        <v>3</v>
      </c>
      <c r="M44" s="12" t="str">
        <v>December</v>
      </c>
      <c r="N44" s="13" t="str">
        <v/>
      </c>
      <c r="O44" s="12" t="str">
        <v>Low Earner</v>
      </c>
      <c r="P44" s="13" t="str">
        <f t="shared" ca="1" si="5"/>
        <v>Eligible</v>
      </c>
      <c r="Q44" s="12" t="str">
        <f t="shared" ca="1" si="6"/>
        <v>Yes</v>
      </c>
      <c r="R44" s="12" t="str">
        <v>IT</v>
      </c>
      <c r="S44" s="13" t="str">
        <f t="shared" si="7"/>
        <v>EMP043,Vijay,IT,Salary -36732.64,Active</v>
      </c>
    </row>
    <row r="45" spans="1:19">
      <c r="A45" s="12" t="s">
        <v>118</v>
      </c>
      <c r="B45" s="13" t="s">
        <v>47</v>
      </c>
      <c r="C45" s="13" t="s">
        <v>44</v>
      </c>
      <c r="D45" s="12" t="s">
        <v>119</v>
      </c>
      <c r="E45" s="15">
        <v>50136</v>
      </c>
      <c r="F45" s="13" t="s">
        <v>24</v>
      </c>
      <c r="G45" s="12">
        <v>7.0000000000000007E-2</v>
      </c>
      <c r="H45" s="15">
        <f t="shared" si="8"/>
        <v>3509.5200000000004</v>
      </c>
      <c r="I45" s="15">
        <f t="shared" si="9"/>
        <v>53645.520000000004</v>
      </c>
      <c r="J45" s="13" t="str">
        <f t="shared" si="10"/>
        <v>Active</v>
      </c>
      <c r="K45" s="16">
        <f t="shared" si="3"/>
        <v>45377</v>
      </c>
      <c r="L45" s="12">
        <f t="shared" ca="1" si="4"/>
        <v>1</v>
      </c>
      <c r="M45" s="12" t="str">
        <v>March</v>
      </c>
      <c r="N45" s="13" t="str">
        <v/>
      </c>
      <c r="O45" s="12" t="str">
        <v>Mid Earner</v>
      </c>
      <c r="P45" s="13" t="str">
        <f t="shared" ca="1" si="5"/>
        <v>Not Eligible</v>
      </c>
      <c r="Q45" s="12" t="str">
        <f t="shared" ca="1" si="6"/>
        <v>No</v>
      </c>
      <c r="R45" s="12" t="str">
        <v>Su</v>
      </c>
      <c r="S45" s="13" t="str">
        <f t="shared" si="7"/>
        <v>EMP044,Madhan,Support,Salary -53645.52,Active</v>
      </c>
    </row>
    <row r="46" spans="1:19">
      <c r="A46" s="12" t="s">
        <v>120</v>
      </c>
      <c r="B46" s="13" t="s">
        <v>38</v>
      </c>
      <c r="C46" s="13" t="s">
        <v>39</v>
      </c>
      <c r="D46" s="12" t="s">
        <v>121</v>
      </c>
      <c r="E46" s="15">
        <v>59376</v>
      </c>
      <c r="F46" s="13" t="s">
        <v>69</v>
      </c>
      <c r="G46" s="12">
        <v>0.12</v>
      </c>
      <c r="H46" s="15">
        <f t="shared" si="8"/>
        <v>7125.12</v>
      </c>
      <c r="I46" s="15">
        <f t="shared" si="9"/>
        <v>66501.119999999995</v>
      </c>
      <c r="J46" s="13" t="str">
        <f t="shared" si="10"/>
        <v>Active</v>
      </c>
      <c r="K46" s="16">
        <f t="shared" si="3"/>
        <v>44469</v>
      </c>
      <c r="L46" s="12">
        <f t="shared" ca="1" si="4"/>
        <v>4</v>
      </c>
      <c r="M46" s="12" t="str">
        <v>September</v>
      </c>
      <c r="N46" s="13" t="str">
        <v>High Bonus</v>
      </c>
      <c r="O46" s="12" t="str">
        <v>Top Earner</v>
      </c>
      <c r="P46" s="13" t="str">
        <f t="shared" ca="1" si="5"/>
        <v>Eligible</v>
      </c>
      <c r="Q46" s="12" t="str">
        <f t="shared" ca="1" si="6"/>
        <v>No</v>
      </c>
      <c r="R46" s="12" t="str">
        <v>IT</v>
      </c>
      <c r="S46" s="13" t="str">
        <f t="shared" si="7"/>
        <v>EMP045,Vimal,IT,Salary -66501.12,Active</v>
      </c>
    </row>
    <row r="47" spans="1:19">
      <c r="A47" s="12" t="s">
        <v>122</v>
      </c>
      <c r="B47" s="13" t="s">
        <v>87</v>
      </c>
      <c r="C47" s="13" t="s">
        <v>44</v>
      </c>
      <c r="D47" s="12" t="s">
        <v>123</v>
      </c>
      <c r="E47" s="15">
        <v>47276</v>
      </c>
      <c r="F47" s="13" t="s">
        <v>24</v>
      </c>
      <c r="G47" s="12">
        <v>7.0000000000000007E-2</v>
      </c>
      <c r="H47" s="15">
        <f t="shared" si="8"/>
        <v>3309.32</v>
      </c>
      <c r="I47" s="15">
        <f t="shared" si="9"/>
        <v>50585.32</v>
      </c>
      <c r="J47" s="13" t="str">
        <f t="shared" si="10"/>
        <v>Active</v>
      </c>
      <c r="K47" s="16">
        <f t="shared" si="3"/>
        <v>45673</v>
      </c>
      <c r="L47" s="12">
        <f t="shared" ca="1" si="4"/>
        <v>0</v>
      </c>
      <c r="M47" s="12" t="str">
        <v>January</v>
      </c>
      <c r="N47" s="13" t="str">
        <v/>
      </c>
      <c r="O47" s="12" t="str">
        <v>Mid Earner</v>
      </c>
      <c r="P47" s="13" t="str">
        <f t="shared" ca="1" si="5"/>
        <v>Not Eligible</v>
      </c>
      <c r="Q47" s="12" t="str">
        <f t="shared" ca="1" si="6"/>
        <v>No</v>
      </c>
      <c r="R47" s="12" t="str">
        <v>Su</v>
      </c>
      <c r="S47" s="13" t="str">
        <f t="shared" si="7"/>
        <v>EMP046,Akash,Support,Salary -50585.32,Active</v>
      </c>
    </row>
    <row r="48" spans="1:19">
      <c r="A48" s="12" t="s">
        <v>124</v>
      </c>
      <c r="B48" s="13" t="s">
        <v>43</v>
      </c>
      <c r="C48" s="13" t="s">
        <v>31</v>
      </c>
      <c r="D48" s="16">
        <v>44320</v>
      </c>
      <c r="E48" s="15">
        <v>50725</v>
      </c>
      <c r="F48" s="13" t="s">
        <v>41</v>
      </c>
      <c r="G48" s="12">
        <v>0.08</v>
      </c>
      <c r="H48" s="15">
        <f t="shared" si="8"/>
        <v>4058</v>
      </c>
      <c r="I48" s="15">
        <f t="shared" si="9"/>
        <v>54783</v>
      </c>
      <c r="J48" s="13" t="str">
        <f t="shared" si="10"/>
        <v>Active</v>
      </c>
      <c r="K48" s="16">
        <v>44320</v>
      </c>
      <c r="L48" s="12">
        <f t="shared" ca="1" si="4"/>
        <v>4</v>
      </c>
      <c r="M48" s="12" t="str">
        <v>May</v>
      </c>
      <c r="N48" s="13" t="str">
        <v/>
      </c>
      <c r="O48" s="12" t="str">
        <v>Mid Earner</v>
      </c>
      <c r="P48" s="13" t="str">
        <f t="shared" ca="1" si="5"/>
        <v>Not Eligible</v>
      </c>
      <c r="Q48" s="12" t="str">
        <f t="shared" ca="1" si="6"/>
        <v>No</v>
      </c>
      <c r="R48" s="12" t="str">
        <v>HR</v>
      </c>
      <c r="S48" s="13" t="str">
        <f t="shared" si="7"/>
        <v>EMP047,Saravanan,HR,Salary -54783,Active</v>
      </c>
    </row>
    <row r="49" spans="1:19">
      <c r="A49" s="12" t="s">
        <v>125</v>
      </c>
      <c r="B49" s="13" t="s">
        <v>57</v>
      </c>
      <c r="C49" s="13" t="s">
        <v>31</v>
      </c>
      <c r="D49" s="16">
        <v>45140</v>
      </c>
      <c r="E49" s="15">
        <v>61620</v>
      </c>
      <c r="F49" s="13" t="s">
        <v>48</v>
      </c>
      <c r="G49" s="12">
        <v>0.08</v>
      </c>
      <c r="H49" s="15">
        <f t="shared" si="8"/>
        <v>4929.6000000000004</v>
      </c>
      <c r="I49" s="15">
        <f t="shared" si="9"/>
        <v>66549.600000000006</v>
      </c>
      <c r="J49" s="13" t="str">
        <f t="shared" si="10"/>
        <v>Active</v>
      </c>
      <c r="K49" s="16">
        <v>45140</v>
      </c>
      <c r="L49" s="12">
        <f t="shared" ca="1" si="4"/>
        <v>2</v>
      </c>
      <c r="M49" s="12" t="str">
        <v>August</v>
      </c>
      <c r="N49" s="13" t="str">
        <v/>
      </c>
      <c r="O49" s="12" t="str">
        <v>Top Earner</v>
      </c>
      <c r="P49" s="13" t="str">
        <f t="shared" ca="1" si="5"/>
        <v>Not Eligible</v>
      </c>
      <c r="Q49" s="12" t="str">
        <f t="shared" ca="1" si="6"/>
        <v>No</v>
      </c>
      <c r="R49" s="12" t="str">
        <v>HR</v>
      </c>
      <c r="S49" s="13" t="str">
        <f t="shared" si="7"/>
        <v>EMP048,Karthik,HR,Salary -66549.6,Active</v>
      </c>
    </row>
    <row r="50" spans="1:19">
      <c r="A50" s="12" t="s">
        <v>126</v>
      </c>
      <c r="B50" s="13" t="s">
        <v>26</v>
      </c>
      <c r="C50" s="13" t="s">
        <v>44</v>
      </c>
      <c r="D50" s="12" t="s">
        <v>127</v>
      </c>
      <c r="E50" s="15">
        <v>57835</v>
      </c>
      <c r="F50" s="13" t="s">
        <v>24</v>
      </c>
      <c r="G50" s="12">
        <v>7.0000000000000007E-2</v>
      </c>
      <c r="H50" s="15">
        <f t="shared" si="8"/>
        <v>4048.4500000000003</v>
      </c>
      <c r="I50" s="15">
        <f t="shared" si="9"/>
        <v>61883.45</v>
      </c>
      <c r="J50" s="13" t="str">
        <f t="shared" si="10"/>
        <v>Active</v>
      </c>
      <c r="K50" s="16">
        <f t="shared" si="3"/>
        <v>43976</v>
      </c>
      <c r="L50" s="12">
        <f t="shared" ca="1" si="4"/>
        <v>5</v>
      </c>
      <c r="M50" s="12" t="str">
        <v>May</v>
      </c>
      <c r="N50" s="13" t="str">
        <v/>
      </c>
      <c r="O50" s="12" t="str">
        <v>Top Earner</v>
      </c>
      <c r="P50" s="13" t="str">
        <f t="shared" ca="1" si="5"/>
        <v>Not Eligible</v>
      </c>
      <c r="Q50" s="12" t="str">
        <f t="shared" ca="1" si="6"/>
        <v>No</v>
      </c>
      <c r="R50" s="12" t="str">
        <v>Su</v>
      </c>
      <c r="S50" s="13" t="str">
        <f t="shared" si="7"/>
        <v>EMP049,Dinesh,Support,Salary -61883.45,Active</v>
      </c>
    </row>
    <row r="51" spans="1:19">
      <c r="A51" s="12" t="s">
        <v>128</v>
      </c>
      <c r="B51" s="13" t="s">
        <v>82</v>
      </c>
      <c r="C51" s="13" t="s">
        <v>22</v>
      </c>
      <c r="D51" s="12" t="s">
        <v>129</v>
      </c>
      <c r="E51" s="15">
        <v>58093</v>
      </c>
      <c r="F51" s="13" t="s">
        <v>33</v>
      </c>
      <c r="G51" s="12">
        <v>0.09</v>
      </c>
      <c r="H51" s="15">
        <f t="shared" si="8"/>
        <v>5228.37</v>
      </c>
      <c r="I51" s="15">
        <f t="shared" si="9"/>
        <v>63321.37</v>
      </c>
      <c r="J51" s="13" t="str">
        <f t="shared" si="10"/>
        <v>Active</v>
      </c>
      <c r="K51" s="16">
        <f t="shared" si="3"/>
        <v>43969</v>
      </c>
      <c r="L51" s="12">
        <f t="shared" ca="1" si="4"/>
        <v>5</v>
      </c>
      <c r="M51" s="12" t="str">
        <v>May</v>
      </c>
      <c r="N51" s="13" t="str">
        <v>High Bonus</v>
      </c>
      <c r="O51" s="12" t="str">
        <v>Top Earner</v>
      </c>
      <c r="P51" s="13" t="str">
        <f t="shared" ca="1" si="5"/>
        <v>Not Eligible</v>
      </c>
      <c r="Q51" s="12" t="str">
        <f t="shared" ca="1" si="6"/>
        <v>No</v>
      </c>
      <c r="R51" s="12" t="str">
        <v>Ma</v>
      </c>
      <c r="S51" s="13" t="str">
        <f t="shared" si="7"/>
        <v>EMP050,Ravi,Marketing,Salary -63321.37,Active</v>
      </c>
    </row>
    <row r="52" spans="1:19">
      <c r="A52" s="12" t="s">
        <v>130</v>
      </c>
      <c r="B52" s="13" t="s">
        <v>67</v>
      </c>
      <c r="C52" s="13" t="s">
        <v>44</v>
      </c>
      <c r="D52" s="16">
        <v>44232</v>
      </c>
      <c r="E52" s="15">
        <v>57496</v>
      </c>
      <c r="F52" s="13" t="s">
        <v>33</v>
      </c>
      <c r="G52" s="12">
        <v>7.0000000000000007E-2</v>
      </c>
      <c r="H52" s="15">
        <f t="shared" si="8"/>
        <v>4024.7200000000003</v>
      </c>
      <c r="I52" s="15">
        <f t="shared" si="9"/>
        <v>61520.72</v>
      </c>
      <c r="J52" s="13" t="str">
        <f t="shared" si="10"/>
        <v>Active</v>
      </c>
      <c r="K52" s="16">
        <v>44232</v>
      </c>
      <c r="L52" s="12">
        <f t="shared" ca="1" si="4"/>
        <v>4</v>
      </c>
      <c r="M52" s="12" t="str">
        <v>February</v>
      </c>
      <c r="N52" s="13" t="str">
        <v/>
      </c>
      <c r="O52" s="12" t="str">
        <v>Top Earner</v>
      </c>
      <c r="P52" s="13" t="str">
        <f t="shared" ca="1" si="5"/>
        <v>Not Eligible</v>
      </c>
      <c r="Q52" s="12" t="str">
        <f t="shared" ca="1" si="6"/>
        <v>No</v>
      </c>
      <c r="R52" s="12" t="str">
        <v>Su</v>
      </c>
      <c r="S52" s="13" t="str">
        <f t="shared" si="7"/>
        <v>EMP051,Manoj,Support,Salary -61520.72,Active</v>
      </c>
    </row>
    <row r="53" spans="1:19">
      <c r="A53" s="12" t="s">
        <v>131</v>
      </c>
      <c r="B53" s="13" t="s">
        <v>47</v>
      </c>
      <c r="C53" s="13" t="s">
        <v>44</v>
      </c>
      <c r="D53" s="16">
        <v>45170</v>
      </c>
      <c r="E53" s="15">
        <v>32673</v>
      </c>
      <c r="F53" s="13" t="s">
        <v>33</v>
      </c>
      <c r="G53" s="12">
        <v>7.0000000000000007E-2</v>
      </c>
      <c r="H53" s="15">
        <f t="shared" si="8"/>
        <v>2287.11</v>
      </c>
      <c r="I53" s="15">
        <f t="shared" si="9"/>
        <v>34960.11</v>
      </c>
      <c r="J53" s="13" t="str">
        <f t="shared" si="10"/>
        <v>Active</v>
      </c>
      <c r="K53" s="16">
        <v>45170</v>
      </c>
      <c r="L53" s="12">
        <f t="shared" ca="1" si="4"/>
        <v>2</v>
      </c>
      <c r="M53" s="12" t="str">
        <v>September</v>
      </c>
      <c r="N53" s="13" t="str">
        <v/>
      </c>
      <c r="O53" s="12" t="str">
        <v>Low Earner</v>
      </c>
      <c r="P53" s="13" t="str">
        <f t="shared" ca="1" si="5"/>
        <v>Not Eligible</v>
      </c>
      <c r="Q53" s="12" t="str">
        <f t="shared" ca="1" si="6"/>
        <v>No</v>
      </c>
      <c r="R53" s="12" t="str">
        <v>Su</v>
      </c>
      <c r="S53" s="13" t="str">
        <f t="shared" si="7"/>
        <v>EMP052,Madhan,Support,Salary -34960.11,Active</v>
      </c>
    </row>
    <row r="54" spans="1:19">
      <c r="A54" s="12" t="s">
        <v>132</v>
      </c>
      <c r="B54" s="13" t="s">
        <v>61</v>
      </c>
      <c r="C54" s="13" t="s">
        <v>22</v>
      </c>
      <c r="D54" s="16">
        <v>44535</v>
      </c>
      <c r="E54" s="15">
        <v>61867</v>
      </c>
      <c r="F54" s="13" t="s">
        <v>48</v>
      </c>
      <c r="G54" s="12">
        <v>0.09</v>
      </c>
      <c r="H54" s="15">
        <f t="shared" si="8"/>
        <v>5568.03</v>
      </c>
      <c r="I54" s="15">
        <f t="shared" si="9"/>
        <v>67435.03</v>
      </c>
      <c r="J54" s="13" t="str">
        <f t="shared" si="10"/>
        <v>Active</v>
      </c>
      <c r="K54" s="16">
        <v>44535</v>
      </c>
      <c r="L54" s="12">
        <f t="shared" ca="1" si="4"/>
        <v>4</v>
      </c>
      <c r="M54" s="12" t="str">
        <v>December</v>
      </c>
      <c r="N54" s="13" t="str">
        <v>High Bonus</v>
      </c>
      <c r="O54" s="12" t="str">
        <v>Top Earner</v>
      </c>
      <c r="P54" s="13" t="str">
        <f t="shared" ca="1" si="5"/>
        <v>Not Eligible</v>
      </c>
      <c r="Q54" s="12" t="str">
        <f t="shared" ca="1" si="6"/>
        <v>Yes</v>
      </c>
      <c r="R54" s="12" t="str">
        <v>Ma</v>
      </c>
      <c r="S54" s="13" t="str">
        <f t="shared" si="7"/>
        <v>EMP053,Surya,Marketing,Salary -67435.03,Active</v>
      </c>
    </row>
    <row r="55" spans="1:19">
      <c r="A55" s="12" t="s">
        <v>133</v>
      </c>
      <c r="B55" s="13" t="s">
        <v>47</v>
      </c>
      <c r="C55" s="13" t="s">
        <v>22</v>
      </c>
      <c r="D55" s="12" t="s">
        <v>134</v>
      </c>
      <c r="E55" s="15">
        <v>31957</v>
      </c>
      <c r="F55" s="13" t="s">
        <v>69</v>
      </c>
      <c r="G55" s="12">
        <v>0.09</v>
      </c>
      <c r="H55" s="15">
        <f t="shared" si="8"/>
        <v>2876.13</v>
      </c>
      <c r="I55" s="15">
        <f t="shared" si="9"/>
        <v>34833.129999999997</v>
      </c>
      <c r="J55" s="13" t="str">
        <f t="shared" si="10"/>
        <v>Active</v>
      </c>
      <c r="K55" s="16">
        <f t="shared" si="3"/>
        <v>44029</v>
      </c>
      <c r="L55" s="12">
        <f t="shared" ca="1" si="4"/>
        <v>5</v>
      </c>
      <c r="M55" s="12" t="str">
        <v>July</v>
      </c>
      <c r="N55" s="13" t="str">
        <v/>
      </c>
      <c r="O55" s="12" t="str">
        <v>Low Earner</v>
      </c>
      <c r="P55" s="13" t="str">
        <f t="shared" ca="1" si="5"/>
        <v>Not Eligible</v>
      </c>
      <c r="Q55" s="12" t="str">
        <f t="shared" ca="1" si="6"/>
        <v>No</v>
      </c>
      <c r="R55" s="12" t="str">
        <v>Ma</v>
      </c>
      <c r="S55" s="13" t="str">
        <f t="shared" si="7"/>
        <v>EMP054,Madhan,Marketing,Salary -34833.13,Active</v>
      </c>
    </row>
    <row r="56" spans="1:19">
      <c r="A56" s="12" t="s">
        <v>135</v>
      </c>
      <c r="B56" s="13" t="s">
        <v>38</v>
      </c>
      <c r="C56" s="13" t="s">
        <v>22</v>
      </c>
      <c r="D56" s="12" t="s">
        <v>136</v>
      </c>
      <c r="E56" s="15">
        <v>55669</v>
      </c>
      <c r="F56" s="13" t="s">
        <v>41</v>
      </c>
      <c r="G56" s="12">
        <v>0.09</v>
      </c>
      <c r="H56" s="15">
        <f t="shared" si="8"/>
        <v>5010.21</v>
      </c>
      <c r="I56" s="15">
        <f t="shared" si="9"/>
        <v>60679.21</v>
      </c>
      <c r="J56" s="13" t="str">
        <f t="shared" si="10"/>
        <v>Active</v>
      </c>
      <c r="K56" s="16">
        <f t="shared" si="3"/>
        <v>44672</v>
      </c>
      <c r="L56" s="12">
        <f t="shared" ca="1" si="4"/>
        <v>3</v>
      </c>
      <c r="M56" s="12" t="str">
        <v>April</v>
      </c>
      <c r="N56" s="13" t="str">
        <v>High Bonus</v>
      </c>
      <c r="O56" s="12" t="str">
        <v>Top Earner</v>
      </c>
      <c r="P56" s="13" t="str">
        <f t="shared" ca="1" si="5"/>
        <v>Not Eligible</v>
      </c>
      <c r="Q56" s="12" t="str">
        <f t="shared" ca="1" si="6"/>
        <v>No</v>
      </c>
      <c r="R56" s="12" t="str">
        <v>Ma</v>
      </c>
      <c r="S56" s="13" t="str">
        <f t="shared" si="7"/>
        <v>EMP055,Vimal,Marketing,Salary -60679.21,Active</v>
      </c>
    </row>
    <row r="57" spans="1:19">
      <c r="A57" s="12" t="s">
        <v>137</v>
      </c>
      <c r="B57" s="13" t="s">
        <v>102</v>
      </c>
      <c r="C57" s="13" t="s">
        <v>71</v>
      </c>
      <c r="D57" s="16">
        <v>44655</v>
      </c>
      <c r="E57" s="15">
        <v>32124</v>
      </c>
      <c r="F57" s="13" t="s">
        <v>41</v>
      </c>
      <c r="G57" s="12">
        <v>0.15</v>
      </c>
      <c r="H57" s="15">
        <f t="shared" si="8"/>
        <v>4818.5999999999995</v>
      </c>
      <c r="I57" s="15">
        <f t="shared" si="9"/>
        <v>36942.6</v>
      </c>
      <c r="J57" s="13" t="str">
        <f t="shared" si="10"/>
        <v>Active</v>
      </c>
      <c r="K57" s="16">
        <v>44655</v>
      </c>
      <c r="L57" s="12">
        <f t="shared" ca="1" si="4"/>
        <v>3</v>
      </c>
      <c r="M57" s="12" t="str">
        <v>April</v>
      </c>
      <c r="N57" s="13" t="str">
        <v/>
      </c>
      <c r="O57" s="12" t="str">
        <v>Low Earner</v>
      </c>
      <c r="P57" s="13" t="str">
        <f t="shared" ca="1" si="5"/>
        <v>Eligible</v>
      </c>
      <c r="Q57" s="12" t="str">
        <f t="shared" ca="1" si="6"/>
        <v>No</v>
      </c>
      <c r="R57" s="12" t="str">
        <v>Sa</v>
      </c>
      <c r="S57" s="13" t="str">
        <f t="shared" si="7"/>
        <v>EMP056,Gokul,Sales,Salary -36942.6,Active</v>
      </c>
    </row>
    <row r="58" spans="1:19">
      <c r="A58" s="12" t="s">
        <v>138</v>
      </c>
      <c r="B58" s="13" t="s">
        <v>30</v>
      </c>
      <c r="C58" s="13" t="s">
        <v>31</v>
      </c>
      <c r="D58" s="12" t="s">
        <v>139</v>
      </c>
      <c r="E58" s="15">
        <v>33473</v>
      </c>
      <c r="F58" s="13" t="s">
        <v>69</v>
      </c>
      <c r="G58" s="12">
        <v>0.08</v>
      </c>
      <c r="H58" s="15">
        <f t="shared" si="8"/>
        <v>2677.84</v>
      </c>
      <c r="I58" s="15">
        <f t="shared" si="9"/>
        <v>36150.839999999997</v>
      </c>
      <c r="J58" s="13" t="str">
        <f t="shared" si="10"/>
        <v>Active</v>
      </c>
      <c r="K58" s="16">
        <f t="shared" si="3"/>
        <v>44223</v>
      </c>
      <c r="L58" s="12">
        <f t="shared" ca="1" si="4"/>
        <v>4</v>
      </c>
      <c r="M58" s="12" t="str">
        <v>January</v>
      </c>
      <c r="N58" s="13" t="str">
        <v/>
      </c>
      <c r="O58" s="12" t="str">
        <v>Low Earner</v>
      </c>
      <c r="P58" s="13" t="str">
        <f t="shared" ca="1" si="5"/>
        <v>Not Eligible</v>
      </c>
      <c r="Q58" s="12" t="str">
        <f t="shared" ca="1" si="6"/>
        <v>No</v>
      </c>
      <c r="R58" s="12" t="str">
        <v>HR</v>
      </c>
      <c r="S58" s="13" t="str">
        <f t="shared" si="7"/>
        <v>EMP057,Bala,HR,Salary -36150.84,Active</v>
      </c>
    </row>
    <row r="59" spans="1:19">
      <c r="A59" s="12" t="s">
        <v>140</v>
      </c>
      <c r="B59" s="13" t="s">
        <v>141</v>
      </c>
      <c r="C59" s="13" t="s">
        <v>39</v>
      </c>
      <c r="D59" s="12" t="s">
        <v>142</v>
      </c>
      <c r="E59" s="15">
        <v>41697</v>
      </c>
      <c r="F59" s="13" t="s">
        <v>69</v>
      </c>
      <c r="G59" s="12">
        <v>0.12</v>
      </c>
      <c r="H59" s="15">
        <f t="shared" si="8"/>
        <v>5003.6399999999994</v>
      </c>
      <c r="I59" s="15">
        <f t="shared" si="9"/>
        <v>46700.639999999999</v>
      </c>
      <c r="J59" s="13" t="str">
        <f t="shared" si="10"/>
        <v>Active</v>
      </c>
      <c r="K59" s="16">
        <f t="shared" si="3"/>
        <v>44695</v>
      </c>
      <c r="L59" s="12">
        <f t="shared" ca="1" si="4"/>
        <v>3</v>
      </c>
      <c r="M59" s="12" t="str">
        <v>May</v>
      </c>
      <c r="N59" s="13" t="str">
        <v>High Bonus</v>
      </c>
      <c r="O59" s="12" t="str">
        <v>Mid Earner</v>
      </c>
      <c r="P59" s="13" t="str">
        <f t="shared" ca="1" si="5"/>
        <v>Eligible</v>
      </c>
      <c r="Q59" s="12" t="str">
        <f t="shared" ca="1" si="6"/>
        <v>No</v>
      </c>
      <c r="R59" s="12" t="str">
        <v>IT</v>
      </c>
      <c r="S59" s="13" t="str">
        <f t="shared" si="7"/>
        <v>EMP058,Kiran,IT,Salary -46700.64,Active</v>
      </c>
    </row>
    <row r="60" spans="1:19">
      <c r="A60" s="12" t="s">
        <v>143</v>
      </c>
      <c r="B60" s="13" t="s">
        <v>108</v>
      </c>
      <c r="C60" s="13" t="s">
        <v>31</v>
      </c>
      <c r="D60" s="12" t="s">
        <v>144</v>
      </c>
      <c r="E60" s="15">
        <v>18891</v>
      </c>
      <c r="F60" s="13" t="s">
        <v>41</v>
      </c>
      <c r="G60" s="12">
        <v>0.08</v>
      </c>
      <c r="H60" s="15">
        <f t="shared" si="8"/>
        <v>1511.28</v>
      </c>
      <c r="I60" s="15">
        <f t="shared" si="9"/>
        <v>20402.28</v>
      </c>
      <c r="J60" s="13" t="str">
        <f t="shared" si="10"/>
        <v>Probation</v>
      </c>
      <c r="K60" s="16">
        <f t="shared" si="3"/>
        <v>45621</v>
      </c>
      <c r="L60" s="12">
        <f t="shared" ca="1" si="4"/>
        <v>1</v>
      </c>
      <c r="M60" s="12" t="str">
        <v>November</v>
      </c>
      <c r="N60" s="13" t="str">
        <v/>
      </c>
      <c r="O60" s="12" t="str">
        <v>Low Earner</v>
      </c>
      <c r="P60" s="13" t="str">
        <f t="shared" ca="1" si="5"/>
        <v>Not Eligible</v>
      </c>
      <c r="Q60" s="12" t="str">
        <f t="shared" ca="1" si="6"/>
        <v>No</v>
      </c>
      <c r="R60" s="12" t="str">
        <v>HR</v>
      </c>
      <c r="S60" s="13" t="str">
        <f t="shared" si="7"/>
        <v>EMP059,Ramesh,HR,Salary -20402.28,Probation</v>
      </c>
    </row>
    <row r="61" spans="1:19">
      <c r="A61" s="12" t="s">
        <v>145</v>
      </c>
      <c r="B61" s="13" t="s">
        <v>52</v>
      </c>
      <c r="C61" s="13" t="s">
        <v>31</v>
      </c>
      <c r="D61" s="12" t="s">
        <v>146</v>
      </c>
      <c r="E61" s="15">
        <v>58374</v>
      </c>
      <c r="F61" s="13" t="s">
        <v>69</v>
      </c>
      <c r="G61" s="12">
        <v>0.08</v>
      </c>
      <c r="H61" s="15">
        <f t="shared" si="8"/>
        <v>4669.92</v>
      </c>
      <c r="I61" s="15">
        <f t="shared" si="9"/>
        <v>63043.92</v>
      </c>
      <c r="J61" s="13" t="str">
        <f t="shared" si="10"/>
        <v>Active</v>
      </c>
      <c r="K61" s="16">
        <f t="shared" si="3"/>
        <v>43934</v>
      </c>
      <c r="L61" s="12">
        <f ca="1">DATEDIF(K61,TODAY(),"Y")</f>
        <v>5</v>
      </c>
      <c r="M61" s="12" t="str">
        <v>April</v>
      </c>
      <c r="N61" s="13" t="str">
        <v/>
      </c>
      <c r="O61" s="12" t="str">
        <v>Top Earner</v>
      </c>
      <c r="P61" s="13" t="str">
        <f t="shared" ca="1" si="5"/>
        <v>Not Eligible</v>
      </c>
      <c r="Q61" s="12" t="str">
        <f t="shared" ca="1" si="6"/>
        <v>No</v>
      </c>
      <c r="R61" s="12" t="str">
        <v>HR</v>
      </c>
      <c r="S61" s="13" t="str">
        <f t="shared" si="7"/>
        <v>EMP060,Anand,HR,Salary -63043.92,Active</v>
      </c>
    </row>
    <row r="62" spans="1:19">
      <c r="A62" s="12" t="s">
        <v>147</v>
      </c>
      <c r="B62" s="13" t="s">
        <v>82</v>
      </c>
      <c r="C62" s="13" t="s">
        <v>22</v>
      </c>
      <c r="D62" s="16">
        <v>45994</v>
      </c>
      <c r="E62" s="15">
        <v>43982</v>
      </c>
      <c r="F62" s="13" t="s">
        <v>24</v>
      </c>
      <c r="G62" s="12">
        <v>0.09</v>
      </c>
      <c r="H62" s="15">
        <f t="shared" si="8"/>
        <v>3958.3799999999997</v>
      </c>
      <c r="I62" s="15">
        <f t="shared" si="9"/>
        <v>47940.38</v>
      </c>
      <c r="J62" s="13" t="str">
        <f t="shared" si="10"/>
        <v>Active</v>
      </c>
      <c r="K62" s="16">
        <v>45994</v>
      </c>
      <c r="L62" s="12">
        <f ca="1">IF(K62&gt;TODAY(),0,DATEDIF(K62,TODAY(),"Y"))</f>
        <v>0</v>
      </c>
      <c r="M62" s="12" t="str">
        <v>December</v>
      </c>
      <c r="N62" s="13" t="str">
        <v/>
      </c>
      <c r="O62" s="12" t="str">
        <v>Mid Earner</v>
      </c>
      <c r="P62" s="13" t="str">
        <f t="shared" ca="1" si="5"/>
        <v>Not Eligible</v>
      </c>
      <c r="Q62" s="12" t="str">
        <f t="shared" ca="1" si="6"/>
        <v>Yes</v>
      </c>
      <c r="R62" s="12" t="str">
        <v>Ma</v>
      </c>
      <c r="S62" s="13" t="str">
        <f t="shared" si="7"/>
        <v>EMP061,Ravi,Marketing,Salary -47940.38,Active</v>
      </c>
    </row>
    <row r="63" spans="1:19">
      <c r="A63" s="12" t="s">
        <v>148</v>
      </c>
      <c r="B63" s="13" t="s">
        <v>57</v>
      </c>
      <c r="C63" s="13" t="s">
        <v>44</v>
      </c>
      <c r="D63" s="16">
        <v>44904</v>
      </c>
      <c r="E63" s="15">
        <v>42936</v>
      </c>
      <c r="F63" s="13" t="s">
        <v>69</v>
      </c>
      <c r="G63" s="12">
        <v>7.0000000000000007E-2</v>
      </c>
      <c r="H63" s="15">
        <f t="shared" si="8"/>
        <v>3005.5200000000004</v>
      </c>
      <c r="I63" s="15">
        <f t="shared" si="9"/>
        <v>45941.520000000004</v>
      </c>
      <c r="J63" s="13" t="str">
        <f t="shared" si="10"/>
        <v>Active</v>
      </c>
      <c r="K63" s="16">
        <v>44904</v>
      </c>
      <c r="L63" s="12">
        <f t="shared" ca="1" si="4"/>
        <v>3</v>
      </c>
      <c r="M63" s="12" t="str">
        <v>December</v>
      </c>
      <c r="N63" s="13" t="str">
        <v/>
      </c>
      <c r="O63" s="12" t="str">
        <v>Mid Earner</v>
      </c>
      <c r="P63" s="13" t="str">
        <f t="shared" ca="1" si="5"/>
        <v>Not Eligible</v>
      </c>
      <c r="Q63" s="12" t="str">
        <f t="shared" ca="1" si="6"/>
        <v>Yes</v>
      </c>
      <c r="R63" s="12" t="str">
        <v>Su</v>
      </c>
      <c r="S63" s="13" t="str">
        <f t="shared" si="7"/>
        <v>EMP062,Karthik,Support,Salary -45941.52,Active</v>
      </c>
    </row>
    <row r="64" spans="1:19">
      <c r="A64" s="12" t="s">
        <v>149</v>
      </c>
      <c r="B64" s="13" t="s">
        <v>57</v>
      </c>
      <c r="C64" s="13" t="s">
        <v>22</v>
      </c>
      <c r="D64" s="12" t="s">
        <v>150</v>
      </c>
      <c r="E64" s="15">
        <v>34598</v>
      </c>
      <c r="F64" s="13" t="s">
        <v>33</v>
      </c>
      <c r="G64" s="12">
        <v>0.09</v>
      </c>
      <c r="H64" s="15">
        <f t="shared" si="8"/>
        <v>3113.8199999999997</v>
      </c>
      <c r="I64" s="15">
        <f t="shared" si="9"/>
        <v>37711.82</v>
      </c>
      <c r="J64" s="13" t="str">
        <f t="shared" si="10"/>
        <v>Active</v>
      </c>
      <c r="K64" s="16">
        <f t="shared" si="3"/>
        <v>44607</v>
      </c>
      <c r="L64" s="12">
        <f t="shared" ca="1" si="4"/>
        <v>3</v>
      </c>
      <c r="M64" s="12" t="str">
        <v>February</v>
      </c>
      <c r="N64" s="13" t="str">
        <v/>
      </c>
      <c r="O64" s="12" t="str">
        <v>Low Earner</v>
      </c>
      <c r="P64" s="13" t="str">
        <f t="shared" ca="1" si="5"/>
        <v>Not Eligible</v>
      </c>
      <c r="Q64" s="12" t="str">
        <f t="shared" ca="1" si="6"/>
        <v>No</v>
      </c>
      <c r="R64" s="12" t="str">
        <v>Ma</v>
      </c>
      <c r="S64" s="13" t="str">
        <f t="shared" si="7"/>
        <v>EMP063,Karthik,Marketing,Salary -37711.82,Active</v>
      </c>
    </row>
    <row r="65" spans="1:19">
      <c r="A65" s="12" t="s">
        <v>151</v>
      </c>
      <c r="B65" s="13" t="s">
        <v>76</v>
      </c>
      <c r="C65" s="13" t="s">
        <v>31</v>
      </c>
      <c r="D65" s="16">
        <v>44385</v>
      </c>
      <c r="E65" s="15">
        <v>60448</v>
      </c>
      <c r="F65" s="13" t="s">
        <v>24</v>
      </c>
      <c r="G65" s="12">
        <v>0.08</v>
      </c>
      <c r="H65" s="15">
        <f t="shared" si="8"/>
        <v>4835.84</v>
      </c>
      <c r="I65" s="15">
        <f t="shared" si="9"/>
        <v>65283.839999999997</v>
      </c>
      <c r="J65" s="13" t="str">
        <f t="shared" si="10"/>
        <v>Active</v>
      </c>
      <c r="K65" s="16">
        <v>44385</v>
      </c>
      <c r="L65" s="12">
        <f t="shared" ca="1" si="4"/>
        <v>4</v>
      </c>
      <c r="M65" s="12" t="str">
        <v>July</v>
      </c>
      <c r="N65" s="13" t="str">
        <v/>
      </c>
      <c r="O65" s="12" t="str">
        <v>Top Earner</v>
      </c>
      <c r="P65" s="13" t="str">
        <f t="shared" ca="1" si="5"/>
        <v>Not Eligible</v>
      </c>
      <c r="Q65" s="12" t="str">
        <f t="shared" ca="1" si="6"/>
        <v>No</v>
      </c>
      <c r="R65" s="12" t="str">
        <v>HR</v>
      </c>
      <c r="S65" s="13" t="str">
        <f t="shared" si="7"/>
        <v>EMP064,Rajesh,HR,Salary -65283.84,Active</v>
      </c>
    </row>
    <row r="66" spans="1:19">
      <c r="A66" s="12" t="s">
        <v>152</v>
      </c>
      <c r="B66" s="13" t="s">
        <v>30</v>
      </c>
      <c r="C66" s="13" t="s">
        <v>44</v>
      </c>
      <c r="D66" s="16">
        <v>45597</v>
      </c>
      <c r="E66" s="15">
        <v>47317</v>
      </c>
      <c r="F66" s="13" t="s">
        <v>48</v>
      </c>
      <c r="G66" s="12">
        <v>7.0000000000000007E-2</v>
      </c>
      <c r="H66" s="15">
        <f t="shared" ref="H66:H97" si="11">E66*G66</f>
        <v>3312.1900000000005</v>
      </c>
      <c r="I66" s="15">
        <f t="shared" ref="I66:I97" si="12">E66+H66</f>
        <v>50629.19</v>
      </c>
      <c r="J66" s="13" t="str">
        <f t="shared" ref="J66:J97" si="13">IF(I66&gt;=25000,"Active","Probation")</f>
        <v>Active</v>
      </c>
      <c r="K66" s="16">
        <v>45597</v>
      </c>
      <c r="L66" s="12">
        <f t="shared" ca="1" si="4"/>
        <v>1</v>
      </c>
      <c r="M66" s="12" t="str">
        <v>November</v>
      </c>
      <c r="N66" s="13" t="str">
        <v/>
      </c>
      <c r="O66" s="12" t="str">
        <v>Mid Earner</v>
      </c>
      <c r="P66" s="13" t="str">
        <f t="shared" ca="1" si="5"/>
        <v>Not Eligible</v>
      </c>
      <c r="Q66" s="12" t="str">
        <f t="shared" ca="1" si="6"/>
        <v>No</v>
      </c>
      <c r="R66" s="12" t="str">
        <v>Su</v>
      </c>
      <c r="S66" s="13" t="str">
        <f t="shared" si="7"/>
        <v>EMP065,Bala,Support,Salary -50629.19,Active</v>
      </c>
    </row>
    <row r="67" spans="1:19">
      <c r="A67" s="12" t="s">
        <v>153</v>
      </c>
      <c r="B67" s="13" t="s">
        <v>57</v>
      </c>
      <c r="C67" s="13" t="s">
        <v>71</v>
      </c>
      <c r="D67" s="12" t="s">
        <v>154</v>
      </c>
      <c r="E67" s="15">
        <v>33492</v>
      </c>
      <c r="F67" s="13" t="s">
        <v>41</v>
      </c>
      <c r="G67" s="12">
        <v>0.15</v>
      </c>
      <c r="H67" s="15">
        <f t="shared" si="11"/>
        <v>5023.8</v>
      </c>
      <c r="I67" s="15">
        <f t="shared" si="12"/>
        <v>38515.800000000003</v>
      </c>
      <c r="J67" s="13" t="str">
        <f t="shared" si="13"/>
        <v>Active</v>
      </c>
      <c r="K67" s="16">
        <f t="shared" ref="K67:K101" si="14">IFERROR(DATEVALUE(D67),"")</f>
        <v>44276</v>
      </c>
      <c r="L67" s="12">
        <f t="shared" ref="L67:L101" ca="1" si="15">DATEDIF(K67,TODAY(),"Y")</f>
        <v>4</v>
      </c>
      <c r="M67" s="12" t="str">
        <v>March</v>
      </c>
      <c r="N67" s="13" t="str">
        <v>High Bonus</v>
      </c>
      <c r="O67" s="12" t="str">
        <v>Low Earner</v>
      </c>
      <c r="P67" s="13" t="str">
        <f t="shared" ref="P67:P101" ca="1" si="16">IF(AND(J67="Active",G67&gt;0.1,L67&gt;=3),"Eligible","Not Eligible")</f>
        <v>Eligible</v>
      </c>
      <c r="Q67" s="12" t="str">
        <f t="shared" ref="Q67:Q101" ca="1" si="17">IF(M67=TEXT(TODAY(),"mmmm"),"Yes","No")</f>
        <v>No</v>
      </c>
      <c r="R67" s="12" t="str">
        <v>Sa</v>
      </c>
      <c r="S67" s="13" t="str">
        <f t="shared" ref="S67:S101" si="18">_xlfn.TEXTJOIN(",",TRUE,A67,B67,C67,"Salary -"&amp;ROUND(I67,2),J67)</f>
        <v>EMP066,Karthik,Sales,Salary -38515.8,Active</v>
      </c>
    </row>
    <row r="68" spans="1:19">
      <c r="A68" s="12" t="s">
        <v>155</v>
      </c>
      <c r="B68" s="13" t="s">
        <v>87</v>
      </c>
      <c r="C68" s="13" t="s">
        <v>39</v>
      </c>
      <c r="D68" s="16">
        <v>45599</v>
      </c>
      <c r="E68" s="15">
        <v>21562</v>
      </c>
      <c r="F68" s="13" t="s">
        <v>24</v>
      </c>
      <c r="G68" s="12">
        <v>0.12</v>
      </c>
      <c r="H68" s="15">
        <f t="shared" si="11"/>
        <v>2587.44</v>
      </c>
      <c r="I68" s="15">
        <f t="shared" si="12"/>
        <v>24149.439999999999</v>
      </c>
      <c r="J68" s="13" t="str">
        <f t="shared" si="13"/>
        <v>Probation</v>
      </c>
      <c r="K68" s="16">
        <v>45599</v>
      </c>
      <c r="L68" s="12">
        <f t="shared" ca="1" si="15"/>
        <v>1</v>
      </c>
      <c r="M68" s="12" t="str">
        <v>November</v>
      </c>
      <c r="N68" s="13" t="str">
        <v/>
      </c>
      <c r="O68" s="12" t="str">
        <v>Low Earner</v>
      </c>
      <c r="P68" s="13" t="str">
        <f t="shared" ca="1" si="16"/>
        <v>Not Eligible</v>
      </c>
      <c r="Q68" s="12" t="str">
        <f t="shared" ca="1" si="17"/>
        <v>No</v>
      </c>
      <c r="R68" s="12" t="str">
        <v>IT</v>
      </c>
      <c r="S68" s="13" t="str">
        <f t="shared" si="18"/>
        <v>EMP067,Akash,IT,Salary -24149.44,Probation</v>
      </c>
    </row>
    <row r="69" spans="1:19">
      <c r="A69" s="12" t="s">
        <v>156</v>
      </c>
      <c r="B69" s="13" t="s">
        <v>67</v>
      </c>
      <c r="C69" s="13" t="s">
        <v>44</v>
      </c>
      <c r="D69" s="16">
        <v>44629</v>
      </c>
      <c r="E69" s="15">
        <v>52064</v>
      </c>
      <c r="F69" s="13" t="s">
        <v>24</v>
      </c>
      <c r="G69" s="12">
        <v>7.0000000000000007E-2</v>
      </c>
      <c r="H69" s="15">
        <f t="shared" si="11"/>
        <v>3644.4800000000005</v>
      </c>
      <c r="I69" s="15">
        <f t="shared" si="12"/>
        <v>55708.480000000003</v>
      </c>
      <c r="J69" s="13" t="str">
        <f t="shared" si="13"/>
        <v>Active</v>
      </c>
      <c r="K69" s="16">
        <v>44629</v>
      </c>
      <c r="L69" s="12">
        <f t="shared" ca="1" si="15"/>
        <v>3</v>
      </c>
      <c r="M69" s="12" t="str">
        <v>March</v>
      </c>
      <c r="N69" s="13" t="str">
        <v/>
      </c>
      <c r="O69" s="12" t="str">
        <v>Mid Earner</v>
      </c>
      <c r="P69" s="13" t="str">
        <f t="shared" ca="1" si="16"/>
        <v>Not Eligible</v>
      </c>
      <c r="Q69" s="12" t="str">
        <f t="shared" ca="1" si="17"/>
        <v>No</v>
      </c>
      <c r="R69" s="12" t="str">
        <v>Su</v>
      </c>
      <c r="S69" s="13" t="str">
        <f t="shared" si="18"/>
        <v>EMP068,Manoj,Support,Salary -55708.48,Active</v>
      </c>
    </row>
    <row r="70" spans="1:19">
      <c r="A70" s="12" t="s">
        <v>157</v>
      </c>
      <c r="B70" s="13" t="s">
        <v>38</v>
      </c>
      <c r="C70" s="13" t="s">
        <v>71</v>
      </c>
      <c r="D70" s="12" t="s">
        <v>158</v>
      </c>
      <c r="E70" s="15">
        <v>58166</v>
      </c>
      <c r="F70" s="13" t="s">
        <v>41</v>
      </c>
      <c r="G70" s="12">
        <v>0.15</v>
      </c>
      <c r="H70" s="15">
        <f t="shared" si="11"/>
        <v>8724.9</v>
      </c>
      <c r="I70" s="15">
        <f t="shared" si="12"/>
        <v>66890.899999999994</v>
      </c>
      <c r="J70" s="13" t="str">
        <f t="shared" si="13"/>
        <v>Active</v>
      </c>
      <c r="K70" s="16">
        <f t="shared" si="14"/>
        <v>45798</v>
      </c>
      <c r="L70" s="12">
        <f t="shared" ca="1" si="15"/>
        <v>0</v>
      </c>
      <c r="M70" s="12" t="str">
        <v>May</v>
      </c>
      <c r="N70" s="13" t="str">
        <v>High Bonus</v>
      </c>
      <c r="O70" s="12" t="str">
        <v>Top Earner</v>
      </c>
      <c r="P70" s="13" t="str">
        <f t="shared" ca="1" si="16"/>
        <v>Not Eligible</v>
      </c>
      <c r="Q70" s="12" t="str">
        <f t="shared" ca="1" si="17"/>
        <v>No</v>
      </c>
      <c r="R70" s="12" t="str">
        <v>Sa</v>
      </c>
      <c r="S70" s="13" t="str">
        <f t="shared" si="18"/>
        <v>EMP069,Vimal,Sales,Salary -66890.9,Active</v>
      </c>
    </row>
    <row r="71" spans="1:19">
      <c r="A71" s="12" t="s">
        <v>159</v>
      </c>
      <c r="B71" s="13" t="s">
        <v>30</v>
      </c>
      <c r="C71" s="13" t="s">
        <v>71</v>
      </c>
      <c r="D71" s="16">
        <v>44990</v>
      </c>
      <c r="E71" s="15">
        <v>63781</v>
      </c>
      <c r="F71" s="13" t="s">
        <v>41</v>
      </c>
      <c r="G71" s="12">
        <v>0.15</v>
      </c>
      <c r="H71" s="15">
        <f t="shared" si="11"/>
        <v>9567.15</v>
      </c>
      <c r="I71" s="15">
        <f t="shared" si="12"/>
        <v>73348.149999999994</v>
      </c>
      <c r="J71" s="13" t="str">
        <f t="shared" si="13"/>
        <v>Active</v>
      </c>
      <c r="K71" s="16">
        <v>44990</v>
      </c>
      <c r="L71" s="12">
        <f t="shared" ca="1" si="15"/>
        <v>2</v>
      </c>
      <c r="M71" s="12" t="str">
        <v>March</v>
      </c>
      <c r="N71" s="13" t="str">
        <v>High Bonus</v>
      </c>
      <c r="O71" s="12" t="str">
        <v>Top Earner</v>
      </c>
      <c r="P71" s="13" t="str">
        <f t="shared" ca="1" si="16"/>
        <v>Not Eligible</v>
      </c>
      <c r="Q71" s="12" t="str">
        <f t="shared" ca="1" si="17"/>
        <v>No</v>
      </c>
      <c r="R71" s="12" t="str">
        <v>Sa</v>
      </c>
      <c r="S71" s="13" t="str">
        <f t="shared" si="18"/>
        <v>EMP070,Bala,Sales,Salary -73348.15,Active</v>
      </c>
    </row>
    <row r="72" spans="1:19">
      <c r="A72" s="12" t="s">
        <v>160</v>
      </c>
      <c r="B72" s="13" t="s">
        <v>54</v>
      </c>
      <c r="C72" s="13" t="s">
        <v>31</v>
      </c>
      <c r="D72" s="16">
        <v>43870</v>
      </c>
      <c r="E72" s="15">
        <v>19597</v>
      </c>
      <c r="F72" s="13" t="s">
        <v>24</v>
      </c>
      <c r="G72" s="12">
        <v>0.08</v>
      </c>
      <c r="H72" s="15">
        <f t="shared" si="11"/>
        <v>1567.76</v>
      </c>
      <c r="I72" s="15">
        <f t="shared" si="12"/>
        <v>21164.76</v>
      </c>
      <c r="J72" s="13" t="str">
        <f t="shared" si="13"/>
        <v>Probation</v>
      </c>
      <c r="K72" s="16">
        <v>43870</v>
      </c>
      <c r="L72" s="12">
        <f t="shared" ca="1" si="15"/>
        <v>5</v>
      </c>
      <c r="M72" s="12" t="str">
        <v>February</v>
      </c>
      <c r="N72" s="13" t="str">
        <v/>
      </c>
      <c r="O72" s="12" t="str">
        <v>Low Earner</v>
      </c>
      <c r="P72" s="13" t="str">
        <f t="shared" ca="1" si="16"/>
        <v>Not Eligible</v>
      </c>
      <c r="Q72" s="12" t="str">
        <f t="shared" ca="1" si="17"/>
        <v>No</v>
      </c>
      <c r="R72" s="12" t="str">
        <v>HR</v>
      </c>
      <c r="S72" s="13" t="str">
        <f t="shared" si="18"/>
        <v>EMP071,Arjun,HR,Salary -21164.76,Probation</v>
      </c>
    </row>
    <row r="73" spans="1:19">
      <c r="A73" s="12" t="s">
        <v>161</v>
      </c>
      <c r="B73" s="13" t="s">
        <v>47</v>
      </c>
      <c r="C73" s="13" t="s">
        <v>22</v>
      </c>
      <c r="D73" s="12" t="s">
        <v>162</v>
      </c>
      <c r="E73" s="15">
        <v>22774</v>
      </c>
      <c r="F73" s="13" t="s">
        <v>69</v>
      </c>
      <c r="G73" s="12">
        <v>0.09</v>
      </c>
      <c r="H73" s="15">
        <f t="shared" si="11"/>
        <v>2049.66</v>
      </c>
      <c r="I73" s="15">
        <f t="shared" si="12"/>
        <v>24823.66</v>
      </c>
      <c r="J73" s="13" t="str">
        <f t="shared" si="13"/>
        <v>Probation</v>
      </c>
      <c r="K73" s="16">
        <f t="shared" si="14"/>
        <v>43912</v>
      </c>
      <c r="L73" s="12">
        <f t="shared" ca="1" si="15"/>
        <v>5</v>
      </c>
      <c r="M73" s="12" t="str">
        <v>March</v>
      </c>
      <c r="N73" s="13" t="str">
        <v/>
      </c>
      <c r="O73" s="12" t="str">
        <v>Low Earner</v>
      </c>
      <c r="P73" s="13" t="str">
        <f t="shared" ca="1" si="16"/>
        <v>Not Eligible</v>
      </c>
      <c r="Q73" s="12" t="str">
        <f t="shared" ca="1" si="17"/>
        <v>No</v>
      </c>
      <c r="R73" s="12" t="str">
        <v>Ma</v>
      </c>
      <c r="S73" s="13" t="str">
        <f t="shared" si="18"/>
        <v>EMP072,Madhan,Marketing,Salary -24823.66,Probation</v>
      </c>
    </row>
    <row r="74" spans="1:19">
      <c r="A74" s="12" t="s">
        <v>163</v>
      </c>
      <c r="B74" s="13" t="s">
        <v>26</v>
      </c>
      <c r="C74" s="13" t="s">
        <v>44</v>
      </c>
      <c r="D74" s="16">
        <v>45203</v>
      </c>
      <c r="E74" s="15">
        <v>32229</v>
      </c>
      <c r="F74" s="13" t="s">
        <v>24</v>
      </c>
      <c r="G74" s="12">
        <v>7.0000000000000007E-2</v>
      </c>
      <c r="H74" s="15">
        <f t="shared" si="11"/>
        <v>2256.0300000000002</v>
      </c>
      <c r="I74" s="15">
        <f t="shared" si="12"/>
        <v>34485.03</v>
      </c>
      <c r="J74" s="13" t="str">
        <f t="shared" si="13"/>
        <v>Active</v>
      </c>
      <c r="K74" s="16">
        <v>45203</v>
      </c>
      <c r="L74" s="12">
        <f t="shared" ca="1" si="15"/>
        <v>2</v>
      </c>
      <c r="M74" s="12" t="str">
        <v>October</v>
      </c>
      <c r="N74" s="13" t="str">
        <v/>
      </c>
      <c r="O74" s="12" t="str">
        <v>Low Earner</v>
      </c>
      <c r="P74" s="13" t="str">
        <f t="shared" ca="1" si="16"/>
        <v>Not Eligible</v>
      </c>
      <c r="Q74" s="12" t="str">
        <f t="shared" ca="1" si="17"/>
        <v>No</v>
      </c>
      <c r="R74" s="12" t="str">
        <v>Su</v>
      </c>
      <c r="S74" s="13" t="str">
        <f t="shared" si="18"/>
        <v>EMP073,Dinesh,Support,Salary -34485.03,Active</v>
      </c>
    </row>
    <row r="75" spans="1:19">
      <c r="A75" s="12" t="s">
        <v>164</v>
      </c>
      <c r="B75" s="13" t="s">
        <v>108</v>
      </c>
      <c r="C75" s="13" t="s">
        <v>31</v>
      </c>
      <c r="D75" s="12" t="s">
        <v>165</v>
      </c>
      <c r="E75" s="15">
        <v>50977</v>
      </c>
      <c r="F75" s="13" t="s">
        <v>24</v>
      </c>
      <c r="G75" s="12">
        <v>0.08</v>
      </c>
      <c r="H75" s="15">
        <f t="shared" si="11"/>
        <v>4078.1600000000003</v>
      </c>
      <c r="I75" s="15">
        <f t="shared" si="12"/>
        <v>55055.16</v>
      </c>
      <c r="J75" s="13" t="str">
        <f t="shared" si="13"/>
        <v>Active</v>
      </c>
      <c r="K75" s="16">
        <f t="shared" si="14"/>
        <v>44249</v>
      </c>
      <c r="L75" s="12">
        <f t="shared" ca="1" si="15"/>
        <v>4</v>
      </c>
      <c r="M75" s="12" t="str">
        <v>February</v>
      </c>
      <c r="N75" s="13" t="str">
        <v/>
      </c>
      <c r="O75" s="12" t="str">
        <v>Mid Earner</v>
      </c>
      <c r="P75" s="13" t="str">
        <f t="shared" ca="1" si="16"/>
        <v>Not Eligible</v>
      </c>
      <c r="Q75" s="12" t="str">
        <f t="shared" ca="1" si="17"/>
        <v>No</v>
      </c>
      <c r="R75" s="12" t="str">
        <v>HR</v>
      </c>
      <c r="S75" s="13" t="str">
        <f t="shared" si="18"/>
        <v>EMP074,Ramesh,HR,Salary -55055.16,Active</v>
      </c>
    </row>
    <row r="76" spans="1:19">
      <c r="A76" s="12" t="s">
        <v>166</v>
      </c>
      <c r="B76" s="13" t="s">
        <v>87</v>
      </c>
      <c r="C76" s="13" t="s">
        <v>71</v>
      </c>
      <c r="D76" s="12" t="s">
        <v>167</v>
      </c>
      <c r="E76" s="15">
        <v>49434</v>
      </c>
      <c r="F76" s="13" t="s">
        <v>33</v>
      </c>
      <c r="G76" s="12">
        <v>0.15</v>
      </c>
      <c r="H76" s="15">
        <f t="shared" si="11"/>
        <v>7415.0999999999995</v>
      </c>
      <c r="I76" s="15">
        <f t="shared" si="12"/>
        <v>56849.1</v>
      </c>
      <c r="J76" s="13" t="str">
        <f t="shared" si="13"/>
        <v>Active</v>
      </c>
      <c r="K76" s="16">
        <f t="shared" si="14"/>
        <v>44374</v>
      </c>
      <c r="L76" s="12">
        <f t="shared" ca="1" si="15"/>
        <v>4</v>
      </c>
      <c r="M76" s="12" t="str">
        <v>June</v>
      </c>
      <c r="N76" s="13" t="str">
        <v>High Bonus</v>
      </c>
      <c r="O76" s="12" t="str">
        <v>Mid Earner</v>
      </c>
      <c r="P76" s="13" t="str">
        <f t="shared" ca="1" si="16"/>
        <v>Eligible</v>
      </c>
      <c r="Q76" s="12" t="str">
        <f t="shared" ca="1" si="17"/>
        <v>No</v>
      </c>
      <c r="R76" s="12" t="str">
        <v>Sa</v>
      </c>
      <c r="S76" s="13" t="str">
        <f t="shared" si="18"/>
        <v>EMP075,Akash,Sales,Salary -56849.1,Active</v>
      </c>
    </row>
    <row r="77" spans="1:19">
      <c r="A77" s="12" t="s">
        <v>168</v>
      </c>
      <c r="B77" s="13" t="s">
        <v>21</v>
      </c>
      <c r="C77" s="13" t="s">
        <v>71</v>
      </c>
      <c r="D77" s="16">
        <v>44449</v>
      </c>
      <c r="E77" s="15">
        <v>36232</v>
      </c>
      <c r="F77" s="13" t="s">
        <v>48</v>
      </c>
      <c r="G77" s="12">
        <v>0.15</v>
      </c>
      <c r="H77" s="15">
        <f t="shared" si="11"/>
        <v>5434.8</v>
      </c>
      <c r="I77" s="15">
        <f t="shared" si="12"/>
        <v>41666.800000000003</v>
      </c>
      <c r="J77" s="13" t="str">
        <f t="shared" si="13"/>
        <v>Active</v>
      </c>
      <c r="K77" s="16">
        <v>44449</v>
      </c>
      <c r="L77" s="12">
        <f t="shared" ca="1" si="15"/>
        <v>4</v>
      </c>
      <c r="M77" s="12" t="str">
        <v>September</v>
      </c>
      <c r="N77" s="13" t="str">
        <v>High Bonus</v>
      </c>
      <c r="O77" s="12" t="str">
        <v>Mid Earner</v>
      </c>
      <c r="P77" s="13" t="str">
        <f t="shared" ca="1" si="16"/>
        <v>Eligible</v>
      </c>
      <c r="Q77" s="12" t="str">
        <f t="shared" ca="1" si="17"/>
        <v>No</v>
      </c>
      <c r="R77" s="12" t="str">
        <v>Sa</v>
      </c>
      <c r="S77" s="13" t="str">
        <f t="shared" si="18"/>
        <v>EMP076,Vijay,Sales,Salary -41666.8,Active</v>
      </c>
    </row>
    <row r="78" spans="1:19">
      <c r="A78" s="12" t="s">
        <v>169</v>
      </c>
      <c r="B78" s="13" t="s">
        <v>43</v>
      </c>
      <c r="C78" s="13" t="s">
        <v>71</v>
      </c>
      <c r="D78" s="12" t="s">
        <v>170</v>
      </c>
      <c r="E78" s="15">
        <v>48017</v>
      </c>
      <c r="F78" s="13" t="s">
        <v>41</v>
      </c>
      <c r="G78" s="12">
        <v>0.15</v>
      </c>
      <c r="H78" s="15">
        <f t="shared" si="11"/>
        <v>7202.55</v>
      </c>
      <c r="I78" s="15">
        <f t="shared" si="12"/>
        <v>55219.55</v>
      </c>
      <c r="J78" s="13" t="str">
        <f t="shared" si="13"/>
        <v>Active</v>
      </c>
      <c r="K78" s="16">
        <f t="shared" si="14"/>
        <v>44984</v>
      </c>
      <c r="L78" s="12">
        <f t="shared" ca="1" si="15"/>
        <v>2</v>
      </c>
      <c r="M78" s="12" t="str">
        <v>February</v>
      </c>
      <c r="N78" s="13" t="str">
        <v>High Bonus</v>
      </c>
      <c r="O78" s="12" t="str">
        <v>Mid Earner</v>
      </c>
      <c r="P78" s="13" t="str">
        <f t="shared" ca="1" si="16"/>
        <v>Not Eligible</v>
      </c>
      <c r="Q78" s="12" t="str">
        <f t="shared" ca="1" si="17"/>
        <v>No</v>
      </c>
      <c r="R78" s="12" t="str">
        <v>Sa</v>
      </c>
      <c r="S78" s="13" t="str">
        <f t="shared" si="18"/>
        <v>EMP077,Saravanan,Sales,Salary -55219.55,Active</v>
      </c>
    </row>
    <row r="79" spans="1:19">
      <c r="A79" s="12" t="s">
        <v>171</v>
      </c>
      <c r="B79" s="13" t="s">
        <v>108</v>
      </c>
      <c r="C79" s="13" t="s">
        <v>71</v>
      </c>
      <c r="D79" s="16">
        <v>44603</v>
      </c>
      <c r="E79" s="15">
        <v>30636</v>
      </c>
      <c r="F79" s="13" t="s">
        <v>48</v>
      </c>
      <c r="G79" s="12">
        <v>0.15</v>
      </c>
      <c r="H79" s="15">
        <f t="shared" si="11"/>
        <v>4595.3999999999996</v>
      </c>
      <c r="I79" s="15">
        <f t="shared" si="12"/>
        <v>35231.4</v>
      </c>
      <c r="J79" s="13" t="str">
        <f t="shared" si="13"/>
        <v>Active</v>
      </c>
      <c r="K79" s="16">
        <v>44603</v>
      </c>
      <c r="L79" s="12">
        <f t="shared" ca="1" si="15"/>
        <v>3</v>
      </c>
      <c r="M79" s="12" t="str">
        <v>February</v>
      </c>
      <c r="N79" s="13" t="str">
        <v/>
      </c>
      <c r="O79" s="12" t="str">
        <v>Low Earner</v>
      </c>
      <c r="P79" s="13" t="str">
        <f t="shared" ca="1" si="16"/>
        <v>Eligible</v>
      </c>
      <c r="Q79" s="12" t="str">
        <f t="shared" ca="1" si="17"/>
        <v>No</v>
      </c>
      <c r="R79" s="12" t="str">
        <v>Sa</v>
      </c>
      <c r="S79" s="13" t="str">
        <f t="shared" si="18"/>
        <v>EMP078,Ramesh,Sales,Salary -35231.4,Active</v>
      </c>
    </row>
    <row r="80" spans="1:19">
      <c r="A80" s="12" t="s">
        <v>172</v>
      </c>
      <c r="B80" s="13" t="s">
        <v>47</v>
      </c>
      <c r="C80" s="13" t="s">
        <v>39</v>
      </c>
      <c r="D80" s="16">
        <v>45424</v>
      </c>
      <c r="E80" s="15">
        <v>57366</v>
      </c>
      <c r="F80" s="13" t="s">
        <v>24</v>
      </c>
      <c r="G80" s="12">
        <v>0.12</v>
      </c>
      <c r="H80" s="15">
        <f t="shared" si="11"/>
        <v>6883.92</v>
      </c>
      <c r="I80" s="15">
        <f t="shared" si="12"/>
        <v>64249.919999999998</v>
      </c>
      <c r="J80" s="13" t="str">
        <f t="shared" si="13"/>
        <v>Active</v>
      </c>
      <c r="K80" s="16">
        <v>45424</v>
      </c>
      <c r="L80" s="12">
        <f t="shared" ca="1" si="15"/>
        <v>1</v>
      </c>
      <c r="M80" s="12" t="str">
        <v>May</v>
      </c>
      <c r="N80" s="13" t="str">
        <v>High Bonus</v>
      </c>
      <c r="O80" s="12" t="str">
        <v>Top Earner</v>
      </c>
      <c r="P80" s="13" t="str">
        <f t="shared" ca="1" si="16"/>
        <v>Not Eligible</v>
      </c>
      <c r="Q80" s="12" t="str">
        <f t="shared" ca="1" si="17"/>
        <v>No</v>
      </c>
      <c r="R80" s="12" t="str">
        <v>IT</v>
      </c>
      <c r="S80" s="13" t="str">
        <f t="shared" si="18"/>
        <v>EMP079,Madhan,IT,Salary -64249.92,Active</v>
      </c>
    </row>
    <row r="81" spans="1:19">
      <c r="A81" s="12" t="s">
        <v>173</v>
      </c>
      <c r="B81" s="13" t="s">
        <v>78</v>
      </c>
      <c r="C81" s="13" t="s">
        <v>31</v>
      </c>
      <c r="D81" s="12" t="s">
        <v>174</v>
      </c>
      <c r="E81" s="15">
        <v>64307</v>
      </c>
      <c r="F81" s="13" t="s">
        <v>41</v>
      </c>
      <c r="G81" s="12">
        <v>0.08</v>
      </c>
      <c r="H81" s="15">
        <f t="shared" si="11"/>
        <v>5144.5600000000004</v>
      </c>
      <c r="I81" s="15">
        <f t="shared" si="12"/>
        <v>69451.56</v>
      </c>
      <c r="J81" s="13" t="str">
        <f t="shared" si="13"/>
        <v>Active</v>
      </c>
      <c r="K81" s="16">
        <f t="shared" si="14"/>
        <v>44728</v>
      </c>
      <c r="L81" s="12">
        <f t="shared" ca="1" si="15"/>
        <v>3</v>
      </c>
      <c r="M81" s="12" t="str">
        <v>June</v>
      </c>
      <c r="N81" s="13" t="str">
        <v>High Bonus</v>
      </c>
      <c r="O81" s="12" t="str">
        <v>Top Earner</v>
      </c>
      <c r="P81" s="13" t="str">
        <f t="shared" ca="1" si="16"/>
        <v>Not Eligible</v>
      </c>
      <c r="Q81" s="12" t="str">
        <f t="shared" ca="1" si="17"/>
        <v>No</v>
      </c>
      <c r="R81" s="12" t="str">
        <v>HR</v>
      </c>
      <c r="S81" s="13" t="str">
        <f t="shared" si="18"/>
        <v>EMP080,Naveen,HR,Salary -69451.56,Active</v>
      </c>
    </row>
    <row r="82" spans="1:19">
      <c r="A82" s="12" t="s">
        <v>175</v>
      </c>
      <c r="B82" s="13" t="s">
        <v>26</v>
      </c>
      <c r="C82" s="13" t="s">
        <v>39</v>
      </c>
      <c r="D82" s="16">
        <v>45572</v>
      </c>
      <c r="E82" s="15">
        <v>29030</v>
      </c>
      <c r="F82" s="13" t="s">
        <v>24</v>
      </c>
      <c r="G82" s="12">
        <v>0.12</v>
      </c>
      <c r="H82" s="15">
        <f t="shared" si="11"/>
        <v>3483.6</v>
      </c>
      <c r="I82" s="15">
        <f t="shared" si="12"/>
        <v>32513.599999999999</v>
      </c>
      <c r="J82" s="13" t="str">
        <f t="shared" si="13"/>
        <v>Active</v>
      </c>
      <c r="K82" s="16">
        <v>45572</v>
      </c>
      <c r="L82" s="12">
        <f t="shared" ca="1" si="15"/>
        <v>1</v>
      </c>
      <c r="M82" s="12" t="str">
        <v>October</v>
      </c>
      <c r="N82" s="13" t="str">
        <v/>
      </c>
      <c r="O82" s="12" t="str">
        <v>Low Earner</v>
      </c>
      <c r="P82" s="13" t="str">
        <f t="shared" ca="1" si="16"/>
        <v>Not Eligible</v>
      </c>
      <c r="Q82" s="12" t="str">
        <f t="shared" ca="1" si="17"/>
        <v>No</v>
      </c>
      <c r="R82" s="12" t="str">
        <v>IT</v>
      </c>
      <c r="S82" s="13" t="str">
        <f t="shared" si="18"/>
        <v>EMP081,Dinesh,IT,Salary -32513.6,Active</v>
      </c>
    </row>
    <row r="83" spans="1:19">
      <c r="A83" s="12" t="s">
        <v>176</v>
      </c>
      <c r="B83" s="13" t="s">
        <v>52</v>
      </c>
      <c r="C83" s="13" t="s">
        <v>71</v>
      </c>
      <c r="D83" s="12" t="s">
        <v>177</v>
      </c>
      <c r="E83" s="15">
        <v>32493</v>
      </c>
      <c r="F83" s="13" t="s">
        <v>33</v>
      </c>
      <c r="G83" s="12">
        <v>0.15</v>
      </c>
      <c r="H83" s="15">
        <f t="shared" si="11"/>
        <v>4873.95</v>
      </c>
      <c r="I83" s="15">
        <f t="shared" si="12"/>
        <v>37366.949999999997</v>
      </c>
      <c r="J83" s="13" t="str">
        <f t="shared" si="13"/>
        <v>Active</v>
      </c>
      <c r="K83" s="16">
        <f t="shared" si="14"/>
        <v>45504</v>
      </c>
      <c r="L83" s="12">
        <f t="shared" ca="1" si="15"/>
        <v>1</v>
      </c>
      <c r="M83" s="12" t="str">
        <v>July</v>
      </c>
      <c r="N83" s="13" t="str">
        <v/>
      </c>
      <c r="O83" s="12" t="str">
        <v>Low Earner</v>
      </c>
      <c r="P83" s="13" t="str">
        <f t="shared" ca="1" si="16"/>
        <v>Not Eligible</v>
      </c>
      <c r="Q83" s="12" t="str">
        <f t="shared" ca="1" si="17"/>
        <v>No</v>
      </c>
      <c r="R83" s="12" t="str">
        <v>Sa</v>
      </c>
      <c r="S83" s="13" t="str">
        <f t="shared" si="18"/>
        <v>EMP082,Anand,Sales,Salary -37366.95,Active</v>
      </c>
    </row>
    <row r="84" spans="1:19">
      <c r="A84" s="12" t="s">
        <v>178</v>
      </c>
      <c r="B84" s="13" t="s">
        <v>35</v>
      </c>
      <c r="C84" s="13" t="s">
        <v>22</v>
      </c>
      <c r="D84" s="12" t="s">
        <v>179</v>
      </c>
      <c r="E84" s="15">
        <v>47677</v>
      </c>
      <c r="F84" s="13" t="s">
        <v>33</v>
      </c>
      <c r="G84" s="12">
        <v>0.09</v>
      </c>
      <c r="H84" s="15">
        <f t="shared" si="11"/>
        <v>4290.93</v>
      </c>
      <c r="I84" s="15">
        <f t="shared" si="12"/>
        <v>51967.93</v>
      </c>
      <c r="J84" s="13" t="str">
        <f t="shared" si="13"/>
        <v>Active</v>
      </c>
      <c r="K84" s="16">
        <f t="shared" si="14"/>
        <v>44372</v>
      </c>
      <c r="L84" s="12">
        <f t="shared" ca="1" si="15"/>
        <v>4</v>
      </c>
      <c r="M84" s="12" t="str">
        <v>June</v>
      </c>
      <c r="N84" s="13" t="str">
        <v/>
      </c>
      <c r="O84" s="12" t="str">
        <v>Mid Earner</v>
      </c>
      <c r="P84" s="13" t="str">
        <f t="shared" ca="1" si="16"/>
        <v>Not Eligible</v>
      </c>
      <c r="Q84" s="12" t="str">
        <f t="shared" ca="1" si="17"/>
        <v>No</v>
      </c>
      <c r="R84" s="12" t="str">
        <v>Ma</v>
      </c>
      <c r="S84" s="13" t="str">
        <f t="shared" si="18"/>
        <v>EMP083,Prakash,Marketing,Salary -51967.93,Active</v>
      </c>
    </row>
    <row r="85" spans="1:19">
      <c r="A85" s="12" t="s">
        <v>180</v>
      </c>
      <c r="B85" s="13" t="s">
        <v>67</v>
      </c>
      <c r="C85" s="13" t="s">
        <v>27</v>
      </c>
      <c r="D85" s="16">
        <v>44507</v>
      </c>
      <c r="E85" s="15">
        <v>44247</v>
      </c>
      <c r="F85" s="13" t="s">
        <v>33</v>
      </c>
      <c r="G85" s="12">
        <v>0.1</v>
      </c>
      <c r="H85" s="15">
        <f t="shared" si="11"/>
        <v>4424.7</v>
      </c>
      <c r="I85" s="15">
        <f t="shared" si="12"/>
        <v>48671.7</v>
      </c>
      <c r="J85" s="13" t="str">
        <f t="shared" si="13"/>
        <v>Active</v>
      </c>
      <c r="K85" s="16">
        <v>44507</v>
      </c>
      <c r="L85" s="12">
        <f t="shared" ca="1" si="15"/>
        <v>4</v>
      </c>
      <c r="M85" s="12" t="str">
        <v>November</v>
      </c>
      <c r="N85" s="13" t="str">
        <v/>
      </c>
      <c r="O85" s="12" t="str">
        <v>Mid Earner</v>
      </c>
      <c r="P85" s="13" t="str">
        <f t="shared" ca="1" si="16"/>
        <v>Not Eligible</v>
      </c>
      <c r="Q85" s="12" t="str">
        <f t="shared" ca="1" si="17"/>
        <v>No</v>
      </c>
      <c r="R85" s="12" t="str">
        <v>Fi</v>
      </c>
      <c r="S85" s="13" t="str">
        <f t="shared" si="18"/>
        <v>EMP084,Manoj,Finance,Salary -48671.7,Active</v>
      </c>
    </row>
    <row r="86" spans="1:19">
      <c r="A86" s="12" t="s">
        <v>181</v>
      </c>
      <c r="B86" s="13" t="s">
        <v>57</v>
      </c>
      <c r="C86" s="13" t="s">
        <v>44</v>
      </c>
      <c r="D86" s="16">
        <v>44267</v>
      </c>
      <c r="E86" s="15">
        <v>59630</v>
      </c>
      <c r="F86" s="13" t="s">
        <v>48</v>
      </c>
      <c r="G86" s="12">
        <v>7.0000000000000007E-2</v>
      </c>
      <c r="H86" s="15">
        <f t="shared" si="11"/>
        <v>4174.1000000000004</v>
      </c>
      <c r="I86" s="15">
        <f t="shared" si="12"/>
        <v>63804.1</v>
      </c>
      <c r="J86" s="13" t="str">
        <f t="shared" si="13"/>
        <v>Active</v>
      </c>
      <c r="K86" s="16">
        <v>44267</v>
      </c>
      <c r="L86" s="12">
        <f t="shared" ca="1" si="15"/>
        <v>4</v>
      </c>
      <c r="M86" s="12" t="str">
        <v>March</v>
      </c>
      <c r="N86" s="13" t="str">
        <v/>
      </c>
      <c r="O86" s="12" t="str">
        <v>Top Earner</v>
      </c>
      <c r="P86" s="13" t="str">
        <f t="shared" ca="1" si="16"/>
        <v>Not Eligible</v>
      </c>
      <c r="Q86" s="12" t="str">
        <f t="shared" ca="1" si="17"/>
        <v>No</v>
      </c>
      <c r="R86" s="12" t="str">
        <v>Su</v>
      </c>
      <c r="S86" s="13" t="str">
        <f t="shared" si="18"/>
        <v>EMP085,Karthik,Support,Salary -63804.1,Active</v>
      </c>
    </row>
    <row r="87" spans="1:19">
      <c r="A87" s="12" t="s">
        <v>182</v>
      </c>
      <c r="B87" s="13" t="s">
        <v>35</v>
      </c>
      <c r="C87" s="13" t="s">
        <v>71</v>
      </c>
      <c r="D87" s="12" t="s">
        <v>183</v>
      </c>
      <c r="E87" s="15">
        <v>62898</v>
      </c>
      <c r="F87" s="13" t="s">
        <v>33</v>
      </c>
      <c r="G87" s="12">
        <v>0.15</v>
      </c>
      <c r="H87" s="15">
        <f t="shared" si="11"/>
        <v>9434.6999999999989</v>
      </c>
      <c r="I87" s="15">
        <f t="shared" si="12"/>
        <v>72332.7</v>
      </c>
      <c r="J87" s="13" t="str">
        <f t="shared" si="13"/>
        <v>Active</v>
      </c>
      <c r="K87" s="16">
        <f t="shared" si="14"/>
        <v>44831</v>
      </c>
      <c r="L87" s="12">
        <f t="shared" ca="1" si="15"/>
        <v>3</v>
      </c>
      <c r="M87" s="12" t="str">
        <v>September</v>
      </c>
      <c r="N87" s="13" t="str">
        <v>High Bonus</v>
      </c>
      <c r="O87" s="12" t="str">
        <v>Top Earner</v>
      </c>
      <c r="P87" s="13" t="str">
        <f t="shared" ca="1" si="16"/>
        <v>Eligible</v>
      </c>
      <c r="Q87" s="12" t="str">
        <f t="shared" ca="1" si="17"/>
        <v>No</v>
      </c>
      <c r="R87" s="12" t="str">
        <v>Sa</v>
      </c>
      <c r="S87" s="13" t="str">
        <f t="shared" si="18"/>
        <v>EMP086,Prakash,Sales,Salary -72332.7,Active</v>
      </c>
    </row>
    <row r="88" spans="1:19">
      <c r="A88" s="12" t="s">
        <v>184</v>
      </c>
      <c r="B88" s="13" t="s">
        <v>35</v>
      </c>
      <c r="C88" s="13" t="s">
        <v>27</v>
      </c>
      <c r="D88" s="12" t="s">
        <v>185</v>
      </c>
      <c r="E88" s="15">
        <v>40492</v>
      </c>
      <c r="F88" s="13" t="s">
        <v>24</v>
      </c>
      <c r="G88" s="12">
        <v>0.1</v>
      </c>
      <c r="H88" s="15">
        <f t="shared" si="11"/>
        <v>4049.2000000000003</v>
      </c>
      <c r="I88" s="15">
        <f t="shared" si="12"/>
        <v>44541.2</v>
      </c>
      <c r="J88" s="13" t="str">
        <f t="shared" si="13"/>
        <v>Active</v>
      </c>
      <c r="K88" s="16">
        <f t="shared" si="14"/>
        <v>44698</v>
      </c>
      <c r="L88" s="12">
        <f t="shared" ca="1" si="15"/>
        <v>3</v>
      </c>
      <c r="M88" s="12" t="str">
        <v>May</v>
      </c>
      <c r="N88" s="13" t="str">
        <v/>
      </c>
      <c r="O88" s="12" t="str">
        <v>Mid Earner</v>
      </c>
      <c r="P88" s="13" t="str">
        <f t="shared" ca="1" si="16"/>
        <v>Not Eligible</v>
      </c>
      <c r="Q88" s="12" t="str">
        <f t="shared" ca="1" si="17"/>
        <v>No</v>
      </c>
      <c r="R88" s="12" t="str">
        <v>Fi</v>
      </c>
      <c r="S88" s="13" t="str">
        <f t="shared" si="18"/>
        <v>EMP087,Prakash,Finance,Salary -44541.2,Active</v>
      </c>
    </row>
    <row r="89" spans="1:19">
      <c r="A89" s="12" t="s">
        <v>186</v>
      </c>
      <c r="B89" s="13" t="s">
        <v>108</v>
      </c>
      <c r="C89" s="13" t="s">
        <v>27</v>
      </c>
      <c r="D89" s="12" t="s">
        <v>187</v>
      </c>
      <c r="E89" s="15">
        <v>29652</v>
      </c>
      <c r="F89" s="13" t="s">
        <v>41</v>
      </c>
      <c r="G89" s="12">
        <v>0.1</v>
      </c>
      <c r="H89" s="15">
        <f t="shared" si="11"/>
        <v>2965.2000000000003</v>
      </c>
      <c r="I89" s="15">
        <f t="shared" si="12"/>
        <v>32617.200000000001</v>
      </c>
      <c r="J89" s="13" t="str">
        <f t="shared" si="13"/>
        <v>Active</v>
      </c>
      <c r="K89" s="16">
        <f t="shared" si="14"/>
        <v>45410</v>
      </c>
      <c r="L89" s="12">
        <f t="shared" ca="1" si="15"/>
        <v>1</v>
      </c>
      <c r="M89" s="12" t="str">
        <v>April</v>
      </c>
      <c r="N89" s="13" t="str">
        <v/>
      </c>
      <c r="O89" s="12" t="str">
        <v>Low Earner</v>
      </c>
      <c r="P89" s="13" t="str">
        <f t="shared" ca="1" si="16"/>
        <v>Not Eligible</v>
      </c>
      <c r="Q89" s="12" t="str">
        <f t="shared" ca="1" si="17"/>
        <v>No</v>
      </c>
      <c r="R89" s="12" t="str">
        <v>Fi</v>
      </c>
      <c r="S89" s="13" t="str">
        <f t="shared" si="18"/>
        <v>EMP088,Ramesh,Finance,Salary -32617.2,Active</v>
      </c>
    </row>
    <row r="90" spans="1:19">
      <c r="A90" s="12" t="s">
        <v>188</v>
      </c>
      <c r="B90" s="13" t="s">
        <v>82</v>
      </c>
      <c r="C90" s="13" t="s">
        <v>39</v>
      </c>
      <c r="D90" s="12" t="s">
        <v>23</v>
      </c>
      <c r="E90" s="15">
        <v>43349</v>
      </c>
      <c r="F90" s="13" t="s">
        <v>24</v>
      </c>
      <c r="G90" s="12">
        <v>0.12</v>
      </c>
      <c r="H90" s="15">
        <f t="shared" si="11"/>
        <v>5201.88</v>
      </c>
      <c r="I90" s="15">
        <f t="shared" si="12"/>
        <v>48550.879999999997</v>
      </c>
      <c r="J90" s="13" t="str">
        <f t="shared" si="13"/>
        <v>Active</v>
      </c>
      <c r="K90" s="16">
        <f t="shared" si="14"/>
        <v>45349</v>
      </c>
      <c r="L90" s="12">
        <f t="shared" ca="1" si="15"/>
        <v>1</v>
      </c>
      <c r="M90" s="12" t="str">
        <v>February</v>
      </c>
      <c r="N90" s="13" t="str">
        <v>High Bonus</v>
      </c>
      <c r="O90" s="12" t="str">
        <v>Mid Earner</v>
      </c>
      <c r="P90" s="13" t="str">
        <f t="shared" ca="1" si="16"/>
        <v>Not Eligible</v>
      </c>
      <c r="Q90" s="12" t="str">
        <f t="shared" ca="1" si="17"/>
        <v>No</v>
      </c>
      <c r="R90" s="12" t="str">
        <v>IT</v>
      </c>
      <c r="S90" s="13" t="str">
        <f t="shared" si="18"/>
        <v>EMP089,Ravi,IT,Salary -48550.88,Active</v>
      </c>
    </row>
    <row r="91" spans="1:19">
      <c r="A91" s="12" t="s">
        <v>189</v>
      </c>
      <c r="B91" s="13" t="s">
        <v>54</v>
      </c>
      <c r="C91" s="13" t="s">
        <v>44</v>
      </c>
      <c r="D91" s="12" t="s">
        <v>190</v>
      </c>
      <c r="E91" s="15">
        <v>53823</v>
      </c>
      <c r="F91" s="13" t="s">
        <v>33</v>
      </c>
      <c r="G91" s="12">
        <v>7.0000000000000007E-2</v>
      </c>
      <c r="H91" s="15">
        <f t="shared" si="11"/>
        <v>3767.6100000000006</v>
      </c>
      <c r="I91" s="15">
        <f t="shared" si="12"/>
        <v>57590.61</v>
      </c>
      <c r="J91" s="13" t="str">
        <f t="shared" si="13"/>
        <v>Active</v>
      </c>
      <c r="K91" s="16">
        <f t="shared" si="14"/>
        <v>43850</v>
      </c>
      <c r="L91" s="12">
        <f t="shared" ca="1" si="15"/>
        <v>5</v>
      </c>
      <c r="M91" s="12" t="str">
        <v>January</v>
      </c>
      <c r="N91" s="13" t="str">
        <v/>
      </c>
      <c r="O91" s="12" t="str">
        <v>Mid Earner</v>
      </c>
      <c r="P91" s="13" t="str">
        <f t="shared" ca="1" si="16"/>
        <v>Not Eligible</v>
      </c>
      <c r="Q91" s="12" t="str">
        <f t="shared" ca="1" si="17"/>
        <v>No</v>
      </c>
      <c r="R91" s="12" t="str">
        <v>Su</v>
      </c>
      <c r="S91" s="13" t="str">
        <f t="shared" si="18"/>
        <v>EMP090,Arjun,Support,Salary -57590.61,Active</v>
      </c>
    </row>
    <row r="92" spans="1:19">
      <c r="A92" s="12" t="s">
        <v>191</v>
      </c>
      <c r="B92" s="13" t="s">
        <v>57</v>
      </c>
      <c r="C92" s="13" t="s">
        <v>27</v>
      </c>
      <c r="D92" s="12" t="s">
        <v>192</v>
      </c>
      <c r="E92" s="15">
        <v>61758</v>
      </c>
      <c r="F92" s="13" t="s">
        <v>48</v>
      </c>
      <c r="G92" s="12">
        <v>0.1</v>
      </c>
      <c r="H92" s="15">
        <f t="shared" si="11"/>
        <v>6175.8</v>
      </c>
      <c r="I92" s="15">
        <f t="shared" si="12"/>
        <v>67933.8</v>
      </c>
      <c r="J92" s="13" t="str">
        <f t="shared" si="13"/>
        <v>Active</v>
      </c>
      <c r="K92" s="16">
        <f t="shared" si="14"/>
        <v>43904</v>
      </c>
      <c r="L92" s="12">
        <f t="shared" ca="1" si="15"/>
        <v>5</v>
      </c>
      <c r="M92" s="12" t="str">
        <v>March</v>
      </c>
      <c r="N92" s="13" t="str">
        <v>High Bonus</v>
      </c>
      <c r="O92" s="12" t="str">
        <v>Top Earner</v>
      </c>
      <c r="P92" s="13" t="str">
        <f t="shared" ca="1" si="16"/>
        <v>Not Eligible</v>
      </c>
      <c r="Q92" s="12" t="str">
        <f t="shared" ca="1" si="17"/>
        <v>No</v>
      </c>
      <c r="R92" s="12" t="str">
        <v>Fi</v>
      </c>
      <c r="S92" s="13" t="str">
        <f t="shared" si="18"/>
        <v>EMP091,Karthik,Finance,Salary -67933.8,Active</v>
      </c>
    </row>
    <row r="93" spans="1:19">
      <c r="A93" s="12" t="s">
        <v>193</v>
      </c>
      <c r="B93" s="13" t="s">
        <v>141</v>
      </c>
      <c r="C93" s="13" t="s">
        <v>22</v>
      </c>
      <c r="D93" s="12" t="s">
        <v>194</v>
      </c>
      <c r="E93" s="15">
        <v>25387</v>
      </c>
      <c r="F93" s="13" t="s">
        <v>69</v>
      </c>
      <c r="G93" s="12">
        <v>0.09</v>
      </c>
      <c r="H93" s="15">
        <f t="shared" si="11"/>
        <v>2284.83</v>
      </c>
      <c r="I93" s="15">
        <f t="shared" si="12"/>
        <v>27671.83</v>
      </c>
      <c r="J93" s="13" t="str">
        <f t="shared" si="13"/>
        <v>Active</v>
      </c>
      <c r="K93" s="16">
        <f t="shared" si="14"/>
        <v>44711</v>
      </c>
      <c r="L93" s="12">
        <f t="shared" ca="1" si="15"/>
        <v>3</v>
      </c>
      <c r="M93" s="12" t="str">
        <v>May</v>
      </c>
      <c r="N93" s="13" t="str">
        <v/>
      </c>
      <c r="O93" s="12" t="str">
        <v>Low Earner</v>
      </c>
      <c r="P93" s="13" t="str">
        <f t="shared" ca="1" si="16"/>
        <v>Not Eligible</v>
      </c>
      <c r="Q93" s="12" t="str">
        <f t="shared" ca="1" si="17"/>
        <v>No</v>
      </c>
      <c r="R93" s="12" t="str">
        <v>Ma</v>
      </c>
      <c r="S93" s="13" t="str">
        <f t="shared" si="18"/>
        <v>EMP092,Kiran,Marketing,Salary -27671.83,Active</v>
      </c>
    </row>
    <row r="94" spans="1:19">
      <c r="A94" s="12" t="s">
        <v>195</v>
      </c>
      <c r="B94" s="13" t="s">
        <v>141</v>
      </c>
      <c r="C94" s="13" t="s">
        <v>44</v>
      </c>
      <c r="D94" s="12" t="s">
        <v>196</v>
      </c>
      <c r="E94" s="15">
        <v>21129</v>
      </c>
      <c r="F94" s="13" t="s">
        <v>69</v>
      </c>
      <c r="G94" s="12">
        <v>7.0000000000000007E-2</v>
      </c>
      <c r="H94" s="15">
        <f t="shared" si="11"/>
        <v>1479.0300000000002</v>
      </c>
      <c r="I94" s="15">
        <f t="shared" si="12"/>
        <v>22608.03</v>
      </c>
      <c r="J94" s="13" t="str">
        <f t="shared" si="13"/>
        <v>Probation</v>
      </c>
      <c r="K94" s="16">
        <f t="shared" si="14"/>
        <v>45672</v>
      </c>
      <c r="L94" s="12">
        <f t="shared" ca="1" si="15"/>
        <v>0</v>
      </c>
      <c r="M94" s="12" t="str">
        <v>January</v>
      </c>
      <c r="N94" s="13" t="str">
        <v/>
      </c>
      <c r="O94" s="12" t="str">
        <v>Low Earner</v>
      </c>
      <c r="P94" s="13" t="str">
        <f t="shared" ca="1" si="16"/>
        <v>Not Eligible</v>
      </c>
      <c r="Q94" s="12" t="str">
        <f t="shared" ca="1" si="17"/>
        <v>No</v>
      </c>
      <c r="R94" s="12" t="str">
        <v>Su</v>
      </c>
      <c r="S94" s="13" t="str">
        <f t="shared" si="18"/>
        <v>EMP093,Kiran,Support,Salary -22608.03,Probation</v>
      </c>
    </row>
    <row r="95" spans="1:19">
      <c r="A95" s="12" t="s">
        <v>197</v>
      </c>
      <c r="B95" s="13" t="s">
        <v>87</v>
      </c>
      <c r="C95" s="13" t="s">
        <v>22</v>
      </c>
      <c r="D95" s="12" t="s">
        <v>198</v>
      </c>
      <c r="E95" s="15">
        <v>30606</v>
      </c>
      <c r="F95" s="13" t="s">
        <v>69</v>
      </c>
      <c r="G95" s="12">
        <v>0.09</v>
      </c>
      <c r="H95" s="15">
        <f t="shared" si="11"/>
        <v>2754.54</v>
      </c>
      <c r="I95" s="15">
        <f t="shared" si="12"/>
        <v>33360.54</v>
      </c>
      <c r="J95" s="13" t="str">
        <f t="shared" si="13"/>
        <v>Active</v>
      </c>
      <c r="K95" s="16">
        <f t="shared" si="14"/>
        <v>44342</v>
      </c>
      <c r="L95" s="12">
        <f t="shared" ca="1" si="15"/>
        <v>4</v>
      </c>
      <c r="M95" s="12" t="str">
        <v>May</v>
      </c>
      <c r="N95" s="13" t="str">
        <v/>
      </c>
      <c r="O95" s="12" t="str">
        <v>Low Earner</v>
      </c>
      <c r="P95" s="13" t="str">
        <f t="shared" ca="1" si="16"/>
        <v>Not Eligible</v>
      </c>
      <c r="Q95" s="12" t="str">
        <f t="shared" ca="1" si="17"/>
        <v>No</v>
      </c>
      <c r="R95" s="12" t="str">
        <v>Ma</v>
      </c>
      <c r="S95" s="13" t="str">
        <f t="shared" si="18"/>
        <v>EMP094,Akash,Marketing,Salary -33360.54,Active</v>
      </c>
    </row>
    <row r="96" spans="1:19">
      <c r="A96" s="12" t="s">
        <v>199</v>
      </c>
      <c r="B96" s="13" t="s">
        <v>82</v>
      </c>
      <c r="C96" s="13" t="s">
        <v>39</v>
      </c>
      <c r="D96" s="12" t="s">
        <v>200</v>
      </c>
      <c r="E96" s="15">
        <v>43957</v>
      </c>
      <c r="F96" s="13" t="s">
        <v>41</v>
      </c>
      <c r="G96" s="12">
        <v>0.12</v>
      </c>
      <c r="H96" s="15">
        <f t="shared" si="11"/>
        <v>5274.84</v>
      </c>
      <c r="I96" s="15">
        <f t="shared" si="12"/>
        <v>49231.839999999997</v>
      </c>
      <c r="J96" s="13" t="str">
        <f t="shared" si="13"/>
        <v>Active</v>
      </c>
      <c r="K96" s="16">
        <f t="shared" si="14"/>
        <v>45641</v>
      </c>
      <c r="L96" s="12">
        <f t="shared" ca="1" si="15"/>
        <v>1</v>
      </c>
      <c r="M96" s="12" t="str">
        <v>December</v>
      </c>
      <c r="N96" s="13" t="str">
        <v>High Bonus</v>
      </c>
      <c r="O96" s="12" t="str">
        <v>Mid Earner</v>
      </c>
      <c r="P96" s="13" t="str">
        <f t="shared" ca="1" si="16"/>
        <v>Not Eligible</v>
      </c>
      <c r="Q96" s="12" t="str">
        <f t="shared" ca="1" si="17"/>
        <v>Yes</v>
      </c>
      <c r="R96" s="12" t="str">
        <v>IT</v>
      </c>
      <c r="S96" s="13" t="str">
        <f t="shared" si="18"/>
        <v>EMP095,Ravi,IT,Salary -49231.84,Active</v>
      </c>
    </row>
    <row r="97" spans="1:19">
      <c r="A97" s="12" t="s">
        <v>201</v>
      </c>
      <c r="B97" s="13" t="s">
        <v>35</v>
      </c>
      <c r="C97" s="13" t="s">
        <v>31</v>
      </c>
      <c r="D97" s="16">
        <v>45423</v>
      </c>
      <c r="E97" s="15">
        <v>64992</v>
      </c>
      <c r="F97" s="13" t="s">
        <v>24</v>
      </c>
      <c r="G97" s="12">
        <v>0.08</v>
      </c>
      <c r="H97" s="15">
        <f t="shared" si="11"/>
        <v>5199.3599999999997</v>
      </c>
      <c r="I97" s="15">
        <f t="shared" si="12"/>
        <v>70191.360000000001</v>
      </c>
      <c r="J97" s="13" t="str">
        <f t="shared" si="13"/>
        <v>Active</v>
      </c>
      <c r="K97" s="16">
        <v>45423</v>
      </c>
      <c r="L97" s="12">
        <f t="shared" ca="1" si="15"/>
        <v>1</v>
      </c>
      <c r="M97" s="12" t="str">
        <v>May</v>
      </c>
      <c r="N97" s="13" t="str">
        <v>High Bonus</v>
      </c>
      <c r="O97" s="12" t="str">
        <v>Top Earner</v>
      </c>
      <c r="P97" s="13" t="str">
        <f t="shared" ca="1" si="16"/>
        <v>Not Eligible</v>
      </c>
      <c r="Q97" s="12" t="str">
        <f t="shared" ca="1" si="17"/>
        <v>No</v>
      </c>
      <c r="R97" s="12" t="str">
        <v>HR</v>
      </c>
      <c r="S97" s="13" t="str">
        <f t="shared" si="18"/>
        <v>EMP096,Prakash,HR,Salary -70191.36,Active</v>
      </c>
    </row>
    <row r="98" spans="1:19">
      <c r="A98" s="12" t="s">
        <v>202</v>
      </c>
      <c r="B98" s="13" t="s">
        <v>30</v>
      </c>
      <c r="C98" s="13" t="s">
        <v>22</v>
      </c>
      <c r="D98" s="16">
        <v>44228</v>
      </c>
      <c r="E98" s="15">
        <v>21149</v>
      </c>
      <c r="F98" s="13" t="s">
        <v>33</v>
      </c>
      <c r="G98" s="12">
        <v>0.09</v>
      </c>
      <c r="H98" s="15">
        <f t="shared" ref="H98:H101" si="19">E98*G98</f>
        <v>1903.4099999999999</v>
      </c>
      <c r="I98" s="15">
        <f t="shared" ref="I98:I101" si="20">E98+H98</f>
        <v>23052.41</v>
      </c>
      <c r="J98" s="13" t="str">
        <f t="shared" ref="J98:J101" si="21">IF(I98&gt;=25000,"Active","Probation")</f>
        <v>Probation</v>
      </c>
      <c r="K98" s="16">
        <v>44228</v>
      </c>
      <c r="L98" s="12">
        <f t="shared" ca="1" si="15"/>
        <v>4</v>
      </c>
      <c r="M98" s="12" t="str">
        <v>February</v>
      </c>
      <c r="N98" s="13" t="str">
        <v/>
      </c>
      <c r="O98" s="12" t="str">
        <v>Low Earner</v>
      </c>
      <c r="P98" s="13" t="str">
        <f t="shared" ca="1" si="16"/>
        <v>Not Eligible</v>
      </c>
      <c r="Q98" s="12" t="str">
        <f t="shared" ca="1" si="17"/>
        <v>No</v>
      </c>
      <c r="R98" s="12" t="str">
        <v>Ma</v>
      </c>
      <c r="S98" s="13" t="str">
        <f t="shared" si="18"/>
        <v>EMP097,Bala,Marketing,Salary -23052.41,Probation</v>
      </c>
    </row>
    <row r="99" spans="1:19">
      <c r="A99" s="12" t="s">
        <v>203</v>
      </c>
      <c r="B99" s="13" t="s">
        <v>102</v>
      </c>
      <c r="C99" s="13" t="s">
        <v>22</v>
      </c>
      <c r="D99" s="16">
        <v>45393</v>
      </c>
      <c r="E99" s="15">
        <v>29013</v>
      </c>
      <c r="F99" s="13" t="s">
        <v>24</v>
      </c>
      <c r="G99" s="12">
        <v>0.09</v>
      </c>
      <c r="H99" s="15">
        <f t="shared" si="19"/>
        <v>2611.17</v>
      </c>
      <c r="I99" s="15">
        <f t="shared" si="20"/>
        <v>31624.17</v>
      </c>
      <c r="J99" s="13" t="str">
        <f t="shared" si="21"/>
        <v>Active</v>
      </c>
      <c r="K99" s="16">
        <v>45393</v>
      </c>
      <c r="L99" s="12">
        <f t="shared" ca="1" si="15"/>
        <v>1</v>
      </c>
      <c r="M99" s="12" t="str">
        <v>April</v>
      </c>
      <c r="N99" s="13" t="str">
        <v/>
      </c>
      <c r="O99" s="12" t="str">
        <v>Low Earner</v>
      </c>
      <c r="P99" s="13" t="str">
        <f t="shared" ca="1" si="16"/>
        <v>Not Eligible</v>
      </c>
      <c r="Q99" s="12" t="str">
        <f t="shared" ca="1" si="17"/>
        <v>No</v>
      </c>
      <c r="R99" s="12" t="str">
        <v>Ma</v>
      </c>
      <c r="S99" s="13" t="str">
        <f t="shared" si="18"/>
        <v>EMP098,Gokul,Marketing,Salary -31624.17,Active</v>
      </c>
    </row>
    <row r="100" spans="1:19">
      <c r="A100" s="12" t="s">
        <v>204</v>
      </c>
      <c r="B100" s="13" t="s">
        <v>30</v>
      </c>
      <c r="C100" s="13" t="s">
        <v>71</v>
      </c>
      <c r="D100" s="12" t="s">
        <v>205</v>
      </c>
      <c r="E100" s="15">
        <v>44596</v>
      </c>
      <c r="F100" s="13" t="s">
        <v>41</v>
      </c>
      <c r="G100" s="12">
        <v>0.15</v>
      </c>
      <c r="H100" s="15">
        <f t="shared" si="19"/>
        <v>6689.4</v>
      </c>
      <c r="I100" s="15">
        <f t="shared" si="20"/>
        <v>51285.4</v>
      </c>
      <c r="J100" s="13" t="str">
        <f t="shared" si="21"/>
        <v>Active</v>
      </c>
      <c r="K100" s="16">
        <f t="shared" si="14"/>
        <v>45443</v>
      </c>
      <c r="L100" s="12">
        <f t="shared" ca="1" si="15"/>
        <v>1</v>
      </c>
      <c r="M100" s="12" t="str">
        <v>May</v>
      </c>
      <c r="N100" s="13" t="str">
        <v>High Bonus</v>
      </c>
      <c r="O100" s="12" t="str">
        <v>Mid Earner</v>
      </c>
      <c r="P100" s="13" t="str">
        <f t="shared" ca="1" si="16"/>
        <v>Not Eligible</v>
      </c>
      <c r="Q100" s="12" t="str">
        <f t="shared" ca="1" si="17"/>
        <v>No</v>
      </c>
      <c r="R100" s="12" t="str">
        <v>Sa</v>
      </c>
      <c r="S100" s="13" t="str">
        <f t="shared" si="18"/>
        <v>EMP099,Bala,Sales,Salary -51285.4,Active</v>
      </c>
    </row>
    <row r="101" spans="1:19">
      <c r="A101" s="12" t="s">
        <v>206</v>
      </c>
      <c r="B101" s="13" t="s">
        <v>57</v>
      </c>
      <c r="C101" s="13" t="s">
        <v>31</v>
      </c>
      <c r="D101" s="12" t="s">
        <v>207</v>
      </c>
      <c r="E101" s="15">
        <v>60614</v>
      </c>
      <c r="F101" s="13" t="s">
        <v>24</v>
      </c>
      <c r="G101" s="12">
        <v>0.08</v>
      </c>
      <c r="H101" s="15">
        <f t="shared" si="19"/>
        <v>4849.12</v>
      </c>
      <c r="I101" s="15">
        <f t="shared" si="20"/>
        <v>65463.12</v>
      </c>
      <c r="J101" s="13" t="str">
        <f t="shared" si="21"/>
        <v>Active</v>
      </c>
      <c r="K101" s="16">
        <f t="shared" si="14"/>
        <v>45589</v>
      </c>
      <c r="L101" s="12">
        <f t="shared" ca="1" si="15"/>
        <v>1</v>
      </c>
      <c r="M101" s="12" t="str">
        <v>October</v>
      </c>
      <c r="N101" s="13" t="str">
        <v/>
      </c>
      <c r="O101" s="12" t="str">
        <v>Top Earner</v>
      </c>
      <c r="P101" s="13" t="str">
        <f t="shared" ca="1" si="16"/>
        <v>Not Eligible</v>
      </c>
      <c r="Q101" s="12" t="str">
        <f t="shared" ca="1" si="17"/>
        <v>No</v>
      </c>
      <c r="R101" s="12" t="str">
        <v>HR</v>
      </c>
      <c r="S101" s="13" t="str">
        <f t="shared" si="18"/>
        <v>EMP100,Karthik,HR,Salary -65463.12,Active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/>
  </sheetViews>
  <sheetFormatPr defaultRowHeight="15"/>
  <cols>
    <col min="1" max="1" width="14" bestFit="1" customWidth="1"/>
    <col min="2" max="2" width="10.7109375" bestFit="1" customWidth="1"/>
  </cols>
  <sheetData>
    <row r="1" spans="1:4">
      <c r="A1" s="19" t="s">
        <v>3</v>
      </c>
      <c r="B1" s="20" t="s">
        <v>208</v>
      </c>
    </row>
    <row r="2" spans="1:4">
      <c r="A2" s="21" t="s">
        <v>27</v>
      </c>
      <c r="B2" s="22">
        <v>0.1</v>
      </c>
    </row>
    <row r="3" spans="1:4">
      <c r="A3" s="21" t="s">
        <v>31</v>
      </c>
      <c r="B3" s="22">
        <v>0.08</v>
      </c>
    </row>
    <row r="4" spans="1:4">
      <c r="A4" s="21" t="s">
        <v>39</v>
      </c>
      <c r="B4" s="22">
        <v>0.12</v>
      </c>
    </row>
    <row r="5" spans="1:4">
      <c r="A5" s="21" t="s">
        <v>71</v>
      </c>
      <c r="B5" s="22">
        <v>0.15</v>
      </c>
    </row>
    <row r="6" spans="1:4">
      <c r="A6" s="21" t="s">
        <v>22</v>
      </c>
      <c r="B6" s="22">
        <v>0.09</v>
      </c>
    </row>
    <row r="7" spans="1:4">
      <c r="A7" s="23" t="s">
        <v>44</v>
      </c>
      <c r="B7" s="24">
        <v>7.0000000000000007E-2</v>
      </c>
    </row>
    <row r="14" spans="1:4">
      <c r="D14" s="1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4B80-8070-41D4-BEFA-4A8D03CA1947}">
  <dimension ref="A2:L16"/>
  <sheetViews>
    <sheetView showGridLines="0" topLeftCell="D1" workbookViewId="0">
      <selection activeCell="I4" sqref="I4:L4"/>
    </sheetView>
  </sheetViews>
  <sheetFormatPr defaultRowHeight="15"/>
  <cols>
    <col min="1" max="1" width="10.5703125" customWidth="1"/>
    <col min="2" max="2" width="25.5703125" customWidth="1"/>
    <col min="3" max="3" width="26.42578125" customWidth="1"/>
    <col min="4" max="4" width="15.7109375" customWidth="1"/>
    <col min="5" max="5" width="16.7109375" customWidth="1"/>
  </cols>
  <sheetData>
    <row r="2" spans="1:12" ht="23.25">
      <c r="B2" s="38" t="s">
        <v>209</v>
      </c>
      <c r="C2" s="39"/>
      <c r="D2" s="39"/>
      <c r="E2" s="40"/>
    </row>
    <row r="3" spans="1:12">
      <c r="A3" s="6"/>
      <c r="B3" s="36" t="s">
        <v>210</v>
      </c>
      <c r="C3" s="37"/>
      <c r="D3" s="32">
        <v>100</v>
      </c>
      <c r="E3" s="33"/>
    </row>
    <row r="4" spans="1:12">
      <c r="B4" s="36" t="s">
        <v>211</v>
      </c>
      <c r="C4" s="37"/>
      <c r="D4" s="32">
        <f>COUNTIF(Employee_Dataset!J2:J101,"Active")</f>
        <v>93</v>
      </c>
      <c r="E4" s="33"/>
      <c r="I4" s="43" t="s">
        <v>212</v>
      </c>
      <c r="J4" s="44"/>
      <c r="K4" s="44"/>
      <c r="L4" s="45"/>
    </row>
    <row r="5" spans="1:12">
      <c r="A5" s="6"/>
      <c r="B5" s="36" t="s">
        <v>213</v>
      </c>
      <c r="C5" s="37"/>
      <c r="D5" s="32">
        <f>COUNTIF(Employee_Dataset!J2:J101,"Probation")</f>
        <v>7</v>
      </c>
      <c r="E5" s="33"/>
      <c r="I5" s="46" t="s">
        <v>214</v>
      </c>
      <c r="J5" s="47"/>
      <c r="K5" s="48">
        <v>31</v>
      </c>
      <c r="L5" s="49"/>
    </row>
    <row r="6" spans="1:12">
      <c r="B6" s="36" t="s">
        <v>215</v>
      </c>
      <c r="C6" s="37"/>
      <c r="D6" s="32">
        <f ca="1">COUNTIF(Employee_Dataset!P2:P101,"Eligible")</f>
        <v>13</v>
      </c>
      <c r="E6" s="33"/>
      <c r="I6" s="50" t="s">
        <v>216</v>
      </c>
      <c r="J6" s="51"/>
      <c r="K6" s="54">
        <f>COUNTIF(Employee_Dataset!O2:O101,"Mid Earner")</f>
        <v>32</v>
      </c>
      <c r="L6" s="55"/>
    </row>
    <row r="7" spans="1:12">
      <c r="A7" s="6"/>
      <c r="B7" s="36" t="s">
        <v>217</v>
      </c>
      <c r="C7" s="37"/>
      <c r="D7" s="34">
        <f>MAX(Employee_Dataset!I2:I101)</f>
        <v>73348.149999999994</v>
      </c>
      <c r="E7" s="35"/>
      <c r="I7" s="52" t="s">
        <v>218</v>
      </c>
      <c r="J7" s="53"/>
      <c r="K7" s="56">
        <f>COUNTIF(Employee_Dataset!O2:O101,"Low Earner")</f>
        <v>37</v>
      </c>
      <c r="L7" s="57"/>
    </row>
    <row r="8" spans="1:12">
      <c r="B8" s="41" t="s">
        <v>219</v>
      </c>
      <c r="C8" s="42"/>
      <c r="D8" s="34">
        <f>MIN(Employee_Dataset!I2:I101)</f>
        <v>20402.28</v>
      </c>
      <c r="E8" s="35"/>
    </row>
    <row r="9" spans="1:12">
      <c r="A9" s="6"/>
      <c r="B9" s="41" t="s">
        <v>220</v>
      </c>
      <c r="C9" s="42"/>
      <c r="D9" s="32" t="s">
        <v>221</v>
      </c>
      <c r="E9" s="33"/>
    </row>
    <row r="10" spans="1:12">
      <c r="B10" s="28" t="s">
        <v>222</v>
      </c>
      <c r="C10" s="29"/>
      <c r="D10" s="30">
        <v>10</v>
      </c>
      <c r="E10" s="31"/>
    </row>
    <row r="11" spans="1:12" ht="15.75" customHeight="1"/>
    <row r="12" spans="1:12" ht="15.75" customHeight="1"/>
    <row r="14" spans="1:12" ht="15.75" customHeight="1"/>
    <row r="16" spans="1:12" ht="30" customHeight="1"/>
  </sheetData>
  <mergeCells count="24">
    <mergeCell ref="I7:J7"/>
    <mergeCell ref="K6:L6"/>
    <mergeCell ref="K7:L7"/>
    <mergeCell ref="I4:L4"/>
    <mergeCell ref="B4:C4"/>
    <mergeCell ref="I5:J5"/>
    <mergeCell ref="K5:L5"/>
    <mergeCell ref="I6:J6"/>
    <mergeCell ref="B2:E2"/>
    <mergeCell ref="D6:E6"/>
    <mergeCell ref="B8:C8"/>
    <mergeCell ref="B9:C9"/>
    <mergeCell ref="B5:C5"/>
    <mergeCell ref="B6:C6"/>
    <mergeCell ref="B3:C3"/>
    <mergeCell ref="B10:C10"/>
    <mergeCell ref="D10:E10"/>
    <mergeCell ref="D9:E9"/>
    <mergeCell ref="D3:E3"/>
    <mergeCell ref="D4:E4"/>
    <mergeCell ref="D5:E5"/>
    <mergeCell ref="D7:E7"/>
    <mergeCell ref="D8:E8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E84A-30D8-4496-828E-16FEAF5CA055}">
  <dimension ref="A1:B8"/>
  <sheetViews>
    <sheetView showGridLines="0" workbookViewId="0">
      <selection activeCell="F18" sqref="F18"/>
    </sheetView>
  </sheetViews>
  <sheetFormatPr defaultRowHeight="15"/>
  <cols>
    <col min="1" max="1" width="14" bestFit="1" customWidth="1"/>
    <col min="2" max="2" width="20.42578125" bestFit="1" customWidth="1"/>
    <col min="16" max="16" width="11.28515625" bestFit="1" customWidth="1"/>
  </cols>
  <sheetData>
    <row r="1" spans="1:2">
      <c r="A1" s="17" t="s">
        <v>3</v>
      </c>
      <c r="B1" t="s">
        <v>223</v>
      </c>
    </row>
    <row r="2" spans="1:2">
      <c r="A2" t="s">
        <v>22</v>
      </c>
      <c r="B2">
        <v>24</v>
      </c>
    </row>
    <row r="3" spans="1:2">
      <c r="A3" t="s">
        <v>44</v>
      </c>
      <c r="B3">
        <v>18</v>
      </c>
    </row>
    <row r="4" spans="1:2">
      <c r="A4" t="s">
        <v>39</v>
      </c>
      <c r="B4">
        <v>17</v>
      </c>
    </row>
    <row r="5" spans="1:2">
      <c r="A5" t="s">
        <v>31</v>
      </c>
      <c r="B5">
        <v>16</v>
      </c>
    </row>
    <row r="6" spans="1:2">
      <c r="A6" t="s">
        <v>71</v>
      </c>
      <c r="B6">
        <v>14</v>
      </c>
    </row>
    <row r="7" spans="1:2">
      <c r="A7" t="s">
        <v>27</v>
      </c>
      <c r="B7">
        <v>11</v>
      </c>
    </row>
    <row r="8" spans="1:2">
      <c r="A8" t="s">
        <v>224</v>
      </c>
      <c r="B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2025-07-10T16:58:23Z</dcterms:created>
  <dcterms:modified xsi:type="dcterms:W3CDTF">2025-12-21T23:54:31Z</dcterms:modified>
  <cp:category/>
  <cp:contentStatus/>
</cp:coreProperties>
</file>